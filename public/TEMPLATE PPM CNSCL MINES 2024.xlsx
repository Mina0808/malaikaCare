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RGINIESECK\Downloads\"/>
    </mc:Choice>
  </mc:AlternateContent>
  <xr:revisionPtr revIDLastSave="0" documentId="13_ncr:1_{997DB487-C67E-4C72-A9EA-FE7D6BC52836}" xr6:coauthVersionLast="47" xr6:coauthVersionMax="47" xr10:uidLastSave="{00000000-0000-0000-0000-000000000000}"/>
  <bookViews>
    <workbookView xWindow="-110" yWindow="-110" windowWidth="19420" windowHeight="11500" xr2:uid="{A1AD836C-7BB6-0B4C-A016-0A7E8938BEF5}"/>
  </bookViews>
  <sheets>
    <sheet name="Marchés" sheetId="2" r:id="rId1"/>
    <sheet name="Validation des données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77" i="2" l="1"/>
  <c r="E77" i="2"/>
  <c r="F77" i="2"/>
  <c r="C78" i="2"/>
  <c r="E78" i="2"/>
  <c r="F78" i="2"/>
  <c r="C79" i="2"/>
  <c r="E79" i="2"/>
  <c r="F79" i="2"/>
  <c r="C80" i="2"/>
  <c r="E80" i="2"/>
  <c r="F80" i="2"/>
  <c r="C81" i="2"/>
  <c r="E81" i="2"/>
  <c r="F81" i="2"/>
  <c r="C82" i="2"/>
  <c r="E82" i="2"/>
  <c r="F82" i="2"/>
  <c r="C83" i="2"/>
  <c r="E83" i="2"/>
  <c r="F83" i="2"/>
  <c r="C84" i="2"/>
  <c r="E84" i="2"/>
  <c r="F84" i="2"/>
  <c r="C85" i="2"/>
  <c r="E85" i="2"/>
  <c r="F85" i="2"/>
  <c r="C86" i="2"/>
  <c r="E86" i="2"/>
  <c r="F86" i="2"/>
  <c r="C87" i="2"/>
  <c r="E87" i="2"/>
  <c r="F87" i="2"/>
  <c r="C88" i="2"/>
  <c r="E88" i="2"/>
  <c r="F88" i="2"/>
  <c r="C89" i="2"/>
  <c r="E89" i="2"/>
  <c r="F89" i="2"/>
  <c r="C90" i="2"/>
  <c r="E90" i="2"/>
  <c r="F90" i="2"/>
  <c r="C91" i="2"/>
  <c r="E91" i="2"/>
  <c r="F91" i="2"/>
  <c r="C92" i="2"/>
  <c r="E92" i="2"/>
  <c r="F92" i="2"/>
  <c r="C93" i="2"/>
  <c r="E93" i="2"/>
  <c r="F93" i="2"/>
  <c r="C94" i="2"/>
  <c r="E94" i="2"/>
  <c r="F94" i="2"/>
  <c r="C95" i="2"/>
  <c r="E95" i="2"/>
  <c r="F95" i="2"/>
  <c r="C96" i="2"/>
  <c r="E96" i="2"/>
  <c r="F96" i="2"/>
  <c r="C97" i="2"/>
  <c r="E97" i="2"/>
  <c r="F97" i="2"/>
  <c r="C98" i="2"/>
  <c r="E98" i="2"/>
  <c r="F98" i="2"/>
  <c r="C99" i="2"/>
  <c r="E99" i="2"/>
  <c r="F99" i="2"/>
  <c r="C100" i="2"/>
  <c r="E100" i="2"/>
  <c r="F100" i="2"/>
  <c r="C101" i="2"/>
  <c r="E101" i="2"/>
  <c r="F101" i="2"/>
  <c r="C102" i="2"/>
  <c r="E102" i="2"/>
  <c r="F102" i="2"/>
  <c r="C103" i="2"/>
  <c r="E103" i="2"/>
  <c r="F103" i="2"/>
  <c r="C104" i="2"/>
  <c r="E104" i="2"/>
  <c r="F104" i="2"/>
  <c r="C105" i="2"/>
  <c r="E105" i="2"/>
  <c r="F105" i="2"/>
  <c r="C106" i="2"/>
  <c r="E106" i="2"/>
  <c r="F106" i="2"/>
  <c r="C107" i="2"/>
  <c r="E107" i="2"/>
  <c r="F107" i="2"/>
  <c r="C108" i="2"/>
  <c r="E108" i="2"/>
  <c r="F108" i="2"/>
  <c r="C109" i="2"/>
  <c r="E109" i="2"/>
  <c r="F109" i="2"/>
  <c r="C110" i="2"/>
  <c r="E110" i="2"/>
  <c r="F110" i="2"/>
  <c r="C111" i="2"/>
  <c r="E111" i="2"/>
  <c r="F111" i="2"/>
  <c r="C112" i="2"/>
  <c r="E112" i="2"/>
  <c r="F112" i="2"/>
  <c r="C113" i="2"/>
  <c r="E113" i="2"/>
  <c r="F113" i="2"/>
  <c r="C114" i="2"/>
  <c r="E114" i="2"/>
  <c r="F114" i="2"/>
  <c r="C115" i="2"/>
  <c r="E115" i="2"/>
  <c r="F115" i="2"/>
  <c r="E5" i="2"/>
  <c r="F5" i="2"/>
  <c r="E6" i="2"/>
  <c r="F6" i="2"/>
  <c r="E7" i="2"/>
  <c r="F7" i="2"/>
  <c r="E8" i="2"/>
  <c r="F8" i="2"/>
  <c r="E9" i="2"/>
  <c r="F9" i="2"/>
  <c r="E10" i="2"/>
  <c r="F10" i="2"/>
  <c r="E11" i="2"/>
  <c r="F11" i="2"/>
  <c r="E12" i="2"/>
  <c r="F12" i="2"/>
  <c r="E13" i="2"/>
  <c r="F13" i="2"/>
  <c r="E14" i="2"/>
  <c r="F14" i="2"/>
  <c r="E15" i="2"/>
  <c r="F15" i="2"/>
  <c r="E16" i="2"/>
  <c r="F16" i="2"/>
  <c r="E17" i="2"/>
  <c r="F17" i="2"/>
  <c r="E18" i="2"/>
  <c r="F18" i="2"/>
  <c r="E19" i="2"/>
  <c r="F19" i="2"/>
  <c r="E20" i="2"/>
  <c r="F20" i="2"/>
  <c r="E21" i="2"/>
  <c r="F21" i="2"/>
  <c r="E22" i="2"/>
  <c r="F22" i="2"/>
  <c r="E23" i="2"/>
  <c r="F23" i="2"/>
  <c r="E24" i="2"/>
  <c r="F24" i="2"/>
  <c r="E25" i="2"/>
  <c r="F25" i="2"/>
  <c r="E26" i="2"/>
  <c r="F26" i="2"/>
  <c r="E27" i="2"/>
  <c r="F27" i="2"/>
  <c r="E28" i="2"/>
  <c r="F28" i="2"/>
  <c r="E29" i="2"/>
  <c r="F29" i="2"/>
  <c r="E30" i="2"/>
  <c r="F30" i="2"/>
  <c r="E31" i="2"/>
  <c r="F31" i="2"/>
  <c r="E32" i="2"/>
  <c r="F32" i="2"/>
  <c r="E33" i="2"/>
  <c r="F33" i="2"/>
  <c r="E34" i="2"/>
  <c r="F34" i="2"/>
  <c r="E35" i="2"/>
  <c r="F35" i="2"/>
  <c r="E36" i="2"/>
  <c r="F36" i="2"/>
  <c r="E37" i="2"/>
  <c r="F37" i="2"/>
  <c r="E38" i="2"/>
  <c r="F38" i="2"/>
  <c r="E39" i="2"/>
  <c r="F39" i="2"/>
  <c r="E40" i="2"/>
  <c r="F40" i="2"/>
  <c r="E41" i="2"/>
  <c r="F41" i="2"/>
  <c r="E42" i="2"/>
  <c r="F42" i="2"/>
  <c r="E43" i="2"/>
  <c r="F43" i="2"/>
  <c r="E44" i="2"/>
  <c r="F44" i="2"/>
  <c r="E45" i="2"/>
  <c r="F45" i="2"/>
  <c r="E46" i="2"/>
  <c r="F46" i="2"/>
  <c r="E47" i="2"/>
  <c r="F47" i="2"/>
  <c r="E48" i="2"/>
  <c r="F48" i="2"/>
  <c r="E49" i="2"/>
  <c r="F49" i="2"/>
  <c r="E50" i="2"/>
  <c r="F50" i="2"/>
  <c r="E51" i="2"/>
  <c r="F51" i="2"/>
  <c r="E52" i="2"/>
  <c r="F52" i="2"/>
  <c r="E53" i="2"/>
  <c r="F53" i="2"/>
  <c r="E54" i="2"/>
  <c r="F54" i="2"/>
  <c r="E55" i="2"/>
  <c r="F55" i="2"/>
  <c r="E56" i="2"/>
  <c r="F56" i="2"/>
  <c r="E57" i="2"/>
  <c r="F57" i="2"/>
  <c r="E58" i="2"/>
  <c r="F58" i="2"/>
  <c r="E59" i="2"/>
  <c r="F59" i="2"/>
  <c r="E60" i="2"/>
  <c r="F60" i="2"/>
  <c r="E61" i="2"/>
  <c r="F61" i="2"/>
  <c r="E62" i="2"/>
  <c r="F62" i="2"/>
  <c r="E63" i="2"/>
  <c r="F63" i="2"/>
  <c r="E64" i="2"/>
  <c r="F64" i="2"/>
  <c r="E65" i="2"/>
  <c r="F65" i="2"/>
  <c r="E66" i="2"/>
  <c r="F66" i="2"/>
  <c r="E67" i="2"/>
  <c r="F67" i="2"/>
  <c r="E68" i="2"/>
  <c r="F68" i="2"/>
  <c r="E69" i="2"/>
  <c r="F69" i="2"/>
  <c r="E70" i="2"/>
  <c r="F70" i="2"/>
  <c r="E71" i="2"/>
  <c r="F71" i="2"/>
  <c r="E72" i="2"/>
  <c r="F72" i="2"/>
  <c r="E73" i="2"/>
  <c r="F73" i="2"/>
  <c r="E74" i="2"/>
  <c r="F74" i="2"/>
  <c r="E75" i="2"/>
  <c r="F75" i="2"/>
  <c r="E76" i="2"/>
  <c r="F76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F4" i="2"/>
  <c r="E4" i="2"/>
  <c r="C4" i="2"/>
  <c r="F3" i="2"/>
  <c r="F2" i="2"/>
  <c r="E2" i="2"/>
  <c r="E3" i="2"/>
  <c r="C3" i="2"/>
  <c r="C2" i="2"/>
</calcChain>
</file>

<file path=xl/sharedStrings.xml><?xml version="1.0" encoding="utf-8"?>
<sst xmlns="http://schemas.openxmlformats.org/spreadsheetml/2006/main" count="346" uniqueCount="158">
  <si>
    <t>Intitulé</t>
  </si>
  <si>
    <t xml:space="preserve"> 04/11/2022 </t>
  </si>
  <si>
    <t>Date prévue de lancement</t>
  </si>
  <si>
    <t>Date prévue d'attribution</t>
  </si>
  <si>
    <t>Descrption du marché</t>
  </si>
  <si>
    <t>Normes et standards applicables</t>
  </si>
  <si>
    <t xml:space="preserve"> 04/11/2023</t>
  </si>
  <si>
    <t>Nature de prestations</t>
  </si>
  <si>
    <t>Libellé Activité</t>
  </si>
  <si>
    <t>Taux (%) minimum à concéder aux sénégalais</t>
  </si>
  <si>
    <t xml:space="preserve">Régime </t>
  </si>
  <si>
    <t>01 </t>
  </si>
  <si>
    <t>Travaux </t>
  </si>
  <si>
    <t>Levés géophysiques au sol </t>
  </si>
  <si>
    <t>50 </t>
  </si>
  <si>
    <t>Mixte </t>
  </si>
  <si>
    <t>02 </t>
  </si>
  <si>
    <t>Levés topographiques </t>
  </si>
  <si>
    <t>03 </t>
  </si>
  <si>
    <t>Levés pour la cartographie géologique </t>
  </si>
  <si>
    <t>04 </t>
  </si>
  <si>
    <t>Levés géochimiques </t>
  </si>
  <si>
    <t>05 </t>
  </si>
  <si>
    <t>Sondage minier </t>
  </si>
  <si>
    <t>60 </t>
  </si>
  <si>
    <t>06 </t>
  </si>
  <si>
    <t>Forage de contrôle de teneur </t>
  </si>
  <si>
    <t>35 </t>
  </si>
  <si>
    <t>07 </t>
  </si>
  <si>
    <t>Forage de dynamitage </t>
  </si>
  <si>
    <t>30 </t>
  </si>
  <si>
    <t>08 </t>
  </si>
  <si>
    <t>Entretien des pistes </t>
  </si>
  <si>
    <t>100 </t>
  </si>
  <si>
    <t>Exclusif </t>
  </si>
  <si>
    <t>09 </t>
  </si>
  <si>
    <t>Services </t>
  </si>
  <si>
    <t>Soudure </t>
  </si>
  <si>
    <t>85 </t>
  </si>
  <si>
    <t>10 </t>
  </si>
  <si>
    <t>Chargement du minerai </t>
  </si>
  <si>
    <t>11 </t>
  </si>
  <si>
    <t>Extraction du minerai </t>
  </si>
  <si>
    <t>12 </t>
  </si>
  <si>
    <t>Hébergement </t>
  </si>
  <si>
    <t>13 </t>
  </si>
  <si>
    <t>Visites médicales </t>
  </si>
  <si>
    <t>14 </t>
  </si>
  <si>
    <t>Forage hydraulique </t>
  </si>
  <si>
    <t>15 </t>
  </si>
  <si>
    <t>Analyses d’échantillons </t>
  </si>
  <si>
    <t>16 </t>
  </si>
  <si>
    <t>Construction de bâtiment, retenues d’eau, ouvrage d’affranchissement pistes et routes </t>
  </si>
  <si>
    <t>17 </t>
  </si>
  <si>
    <t>Evaluation environnementale </t>
  </si>
  <si>
    <t>18 </t>
  </si>
  <si>
    <t>Etudes socio-économiques </t>
  </si>
  <si>
    <t>19 </t>
  </si>
  <si>
    <t>Services  </t>
  </si>
  <si>
    <t>Maintenance des parcs informatiques </t>
  </si>
  <si>
    <t>20 </t>
  </si>
  <si>
    <t>Assistance juridique et comptable au niveau national </t>
  </si>
  <si>
    <t>21 </t>
  </si>
  <si>
    <t>Câblages ou extension des réseaux informatiques </t>
  </si>
  <si>
    <t>22 </t>
  </si>
  <si>
    <t>Élaboration des politiques de sécurité des systèmes d’information </t>
  </si>
  <si>
    <t>23 </t>
  </si>
  <si>
    <t>Élaboration et mise en œuvre des plans de reprise des activités et du plan de continuité d’activités (système d’informations) </t>
  </si>
  <si>
    <t>24 </t>
  </si>
  <si>
    <t>Réalisation de cartographie des risques de sécurité des systèmes d’information </t>
  </si>
  <si>
    <t>25 </t>
  </si>
  <si>
    <t>Restauration </t>
  </si>
  <si>
    <t>26 </t>
  </si>
  <si>
    <t>Gardiennage/sécurité </t>
  </si>
  <si>
    <t>27 </t>
  </si>
  <si>
    <t>Frêt </t>
  </si>
  <si>
    <t>28 </t>
  </si>
  <si>
    <t>Transit </t>
  </si>
  <si>
    <t>29 </t>
  </si>
  <si>
    <t>Logistique (transport, commande locale) </t>
  </si>
  <si>
    <t>70 </t>
  </si>
  <si>
    <t>Projection thermique </t>
  </si>
  <si>
    <t>40 </t>
  </si>
  <si>
    <t>31 </t>
  </si>
  <si>
    <t>Assurances / Ré-assurrances</t>
  </si>
  <si>
    <t>32 </t>
  </si>
  <si>
    <t>Transport terrestre du minerai </t>
  </si>
  <si>
    <t>33 </t>
  </si>
  <si>
    <t>Transport de concentré ou de grenu </t>
  </si>
  <si>
    <t>34 </t>
  </si>
  <si>
    <t>Construction de parcs à résidus (travaux de terrassement) </t>
  </si>
  <si>
    <t>Conception, correction et évolution progiciel et logiciel </t>
  </si>
  <si>
    <t>36 </t>
  </si>
  <si>
    <t>Audit, diagnostic du système d’information </t>
  </si>
  <si>
    <t>37 </t>
  </si>
  <si>
    <t>Sécurisation du système d’information </t>
  </si>
  <si>
    <t>38 </t>
  </si>
  <si>
    <t>Réalisation de schéma Directeur Informatique </t>
  </si>
  <si>
    <t>39 </t>
  </si>
  <si>
    <t>Transport terrestre du personnel sur le territoire national </t>
  </si>
  <si>
    <t>Nettoyage domestique (entretien de bureau) </t>
  </si>
  <si>
    <t>41 </t>
  </si>
  <si>
    <t>Mécanique industrielle (usine) </t>
  </si>
  <si>
    <t>42 </t>
  </si>
  <si>
    <t>Mécanique d’engins et machines mobiles </t>
  </si>
  <si>
    <t>43 </t>
  </si>
  <si>
    <t>Mécanique de précision et d’usinage (moteur, cylindre) </t>
  </si>
  <si>
    <t>44 </t>
  </si>
  <si>
    <t>Fournitures </t>
  </si>
  <si>
    <t>Carburants et lubrifiants </t>
  </si>
  <si>
    <t>45 </t>
  </si>
  <si>
    <t>Pièces de rechanges « véhicules légers », « engins lourds », « équipements fixes » </t>
  </si>
  <si>
    <t>46 </t>
  </si>
  <si>
    <t>Pneumatique « véhicules légers » et « engins lourds » </t>
  </si>
  <si>
    <t>47 </t>
  </si>
  <si>
    <t>Matériel de bureau </t>
  </si>
  <si>
    <t>48 </t>
  </si>
  <si>
    <t>Produits alimentaires </t>
  </si>
  <si>
    <t>49 </t>
  </si>
  <si>
    <t>Equipements de production d’énergie thermique </t>
  </si>
  <si>
    <t>Equipements de production d’énergie solaire </t>
  </si>
  <si>
    <t>51 </t>
  </si>
  <si>
    <t>Equipement et protection individuelle courants </t>
  </si>
  <si>
    <t>80 </t>
  </si>
  <si>
    <t>52 </t>
  </si>
  <si>
    <t>Cyanure </t>
  </si>
  <si>
    <t>53 </t>
  </si>
  <si>
    <t>Borax </t>
  </si>
  <si>
    <t>54 </t>
  </si>
  <si>
    <t>Chaux </t>
  </si>
  <si>
    <t>55 </t>
  </si>
  <si>
    <t>Substances explosives </t>
  </si>
  <si>
    <t>56 </t>
  </si>
  <si>
    <t>Boulets </t>
  </si>
  <si>
    <t>57 </t>
  </si>
  <si>
    <t>Autres produits chimiques utilisés dans le traitement du minerai </t>
  </si>
  <si>
    <t>58 </t>
  </si>
  <si>
    <t>Tuyauterie </t>
  </si>
  <si>
    <t>59 </t>
  </si>
  <si>
    <t>Communication </t>
  </si>
  <si>
    <t>Confection de tenues </t>
  </si>
  <si>
    <t>61 </t>
  </si>
  <si>
    <t>Services d’intérim </t>
  </si>
  <si>
    <t>62 </t>
  </si>
  <si>
    <t>Formations </t>
  </si>
  <si>
    <t>63 </t>
  </si>
  <si>
    <t>Etudes de faisabilité, conception </t>
  </si>
  <si>
    <t>64 </t>
  </si>
  <si>
    <t>Literie / linge de maison </t>
  </si>
  <si>
    <t>Numero ligne</t>
  </si>
  <si>
    <t>Selection d'un topographe</t>
  </si>
  <si>
    <t>Travaux de sondage</t>
  </si>
  <si>
    <t>Marche d'approvisionnement en fuel</t>
  </si>
  <si>
    <t xml:space="preserve">Référence
</t>
  </si>
  <si>
    <t>T_Ref001</t>
  </si>
  <si>
    <t>S_Ref001</t>
  </si>
  <si>
    <t>F_Ref001</t>
  </si>
  <si>
    <t xml:space="preserve"> 04/11/2024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</si>
</sst>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Tahoma"/>
      <family val="2"/>
    </font>
    <font>
      <sz val="11"/>
      <color rgb="FF000000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vertical="center"/>
    </xf>
    <xf numFmtId="0" fontId="1" fillId="2" borderId="2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1" fillId="2" borderId="3" xfId="0" applyFont="1" applyFill="1" applyBorder="1" applyAlignment="1" applyProtection="1">
      <alignment horizontal="center" vertical="center" wrapText="1"/>
      <protection locked="0"/>
    </xf>
    <xf numFmtId="0" fontId="0" fillId="0" borderId="1" xfId="0" applyBorder="1" applyAlignment="1" applyProtection="1">
      <alignment vertical="center"/>
      <protection locked="0"/>
    </xf>
    <xf numFmtId="0" fontId="0" fillId="0" borderId="1" xfId="0" applyBorder="1" applyAlignment="1" applyProtection="1">
      <alignment vertical="center" wrapText="1"/>
      <protection locked="0"/>
    </xf>
    <xf numFmtId="0" fontId="0" fillId="0" borderId="0" xfId="0" applyProtection="1">
      <protection locked="0"/>
    </xf>
    <xf numFmtId="0" fontId="1" fillId="2" borderId="2" xfId="0" applyFont="1" applyFill="1" applyBorder="1" applyAlignment="1" applyProtection="1">
      <alignment horizontal="center" vertical="center" wrapText="1"/>
      <protection locked="0"/>
    </xf>
    <xf numFmtId="0" fontId="2" fillId="0" borderId="1" xfId="0" applyFont="1" applyBorder="1" applyAlignment="1" applyProtection="1">
      <alignment vertical="center" wrapText="1"/>
      <protection locked="0"/>
    </xf>
    <xf numFmtId="14" fontId="0" fillId="0" borderId="1" xfId="0" applyNumberFormat="1" applyBorder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12" fontId="0" fillId="0" borderId="1" xfId="0" applyNumberFormat="1" applyBorder="1" applyAlignment="1" applyProtection="1">
      <alignment horizontal="center" vertical="center"/>
      <protection locked="0"/>
    </xf>
    <xf numFmtId="0" fontId="1" fillId="2" borderId="1" xfId="0" applyFont="1" applyFill="1" applyBorder="1" applyAlignment="1" applyProtection="1">
      <alignment horizontal="center" vertical="center" wrapText="1"/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0" fontId="4" fillId="0" borderId="4" xfId="0" applyFont="1" applyBorder="1" applyAlignment="1">
      <alignment horizontal="justify" vertical="center" wrapText="1"/>
    </xf>
    <xf numFmtId="0" fontId="4" fillId="0" borderId="5" xfId="0" applyFont="1" applyBorder="1" applyAlignment="1">
      <alignment horizontal="justify" vertical="center" wrapText="1"/>
    </xf>
    <xf numFmtId="0" fontId="5" fillId="0" borderId="6" xfId="0" applyFont="1" applyBorder="1" applyAlignment="1">
      <alignment horizontal="justify" vertical="center" wrapText="1"/>
    </xf>
    <xf numFmtId="0" fontId="4" fillId="0" borderId="7" xfId="0" applyFont="1" applyBorder="1" applyAlignment="1">
      <alignment horizontal="justify" vertical="center" wrapText="1"/>
    </xf>
    <xf numFmtId="0" fontId="4" fillId="0" borderId="8" xfId="0" applyFont="1" applyBorder="1" applyAlignment="1">
      <alignment horizontal="justify" vertical="center" wrapText="1"/>
    </xf>
    <xf numFmtId="0" fontId="5" fillId="0" borderId="9" xfId="0" applyFont="1" applyBorder="1" applyAlignment="1">
      <alignment horizontal="justify" vertical="center" wrapText="1"/>
    </xf>
    <xf numFmtId="0" fontId="4" fillId="0" borderId="10" xfId="0" applyFont="1" applyBorder="1" applyAlignment="1">
      <alignment horizontal="justify" vertical="center" wrapText="1"/>
    </xf>
    <xf numFmtId="0" fontId="4" fillId="0" borderId="11" xfId="0" applyFont="1" applyBorder="1" applyAlignment="1">
      <alignment horizontal="justify" vertical="center" wrapText="1"/>
    </xf>
    <xf numFmtId="0" fontId="5" fillId="0" borderId="12" xfId="0" applyFont="1" applyBorder="1" applyAlignment="1">
      <alignment horizontal="justify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D00A11-7063-4ABC-A916-1ACC3203B236}">
  <dimension ref="A1:J115"/>
  <sheetViews>
    <sheetView showGridLines="0" tabSelected="1" zoomScale="52" zoomScaleNormal="52" workbookViewId="0">
      <selection activeCell="D29" sqref="D29"/>
    </sheetView>
  </sheetViews>
  <sheetFormatPr baseColWidth="10" defaultColWidth="8.6640625" defaultRowHeight="15.5" x14ac:dyDescent="0.35"/>
  <cols>
    <col min="1" max="1" width="31.6640625" style="7" customWidth="1"/>
    <col min="2" max="2" width="32.1640625" style="7" customWidth="1"/>
    <col min="3" max="3" width="19.83203125" customWidth="1"/>
    <col min="4" max="4" width="58" style="7" customWidth="1"/>
    <col min="5" max="5" width="13.6640625" customWidth="1"/>
    <col min="7" max="8" width="15.5" style="11" customWidth="1"/>
    <col min="9" max="9" width="23.5" style="11" customWidth="1"/>
    <col min="10" max="10" width="28.83203125" style="11" customWidth="1"/>
  </cols>
  <sheetData>
    <row r="1" spans="1:10" ht="62" x14ac:dyDescent="0.35">
      <c r="A1" s="4" t="s">
        <v>0</v>
      </c>
      <c r="B1" s="4" t="s">
        <v>153</v>
      </c>
      <c r="C1" s="2" t="s">
        <v>7</v>
      </c>
      <c r="D1" s="8" t="s">
        <v>8</v>
      </c>
      <c r="E1" s="2" t="s">
        <v>9</v>
      </c>
      <c r="F1" s="2" t="s">
        <v>10</v>
      </c>
      <c r="G1" s="4" t="s">
        <v>2</v>
      </c>
      <c r="H1" s="4" t="s">
        <v>3</v>
      </c>
      <c r="I1" s="13" t="s">
        <v>4</v>
      </c>
      <c r="J1" s="13" t="s">
        <v>5</v>
      </c>
    </row>
    <row r="2" spans="1:10" s="1" customFormat="1" x14ac:dyDescent="0.35">
      <c r="A2" s="5" t="s">
        <v>150</v>
      </c>
      <c r="B2" s="6" t="s">
        <v>154</v>
      </c>
      <c r="C2" s="3" t="str">
        <f>VLOOKUP($D2,'Validation des données'!$A$1:$D$55,2,FALSE)</f>
        <v>Travaux </v>
      </c>
      <c r="D2" s="9" t="s">
        <v>17</v>
      </c>
      <c r="E2" s="3" t="str">
        <f>VLOOKUP($D2,'Validation des données'!$A$2:$D$55,4,FALSE)</f>
        <v>50 </v>
      </c>
      <c r="F2" s="3" t="str">
        <f>VLOOKUP($D2,'Validation des données'!$A$2:$D$55,3,FALSE)</f>
        <v>Mixte </v>
      </c>
      <c r="G2" s="10">
        <v>44562</v>
      </c>
      <c r="H2" s="12" t="s">
        <v>1</v>
      </c>
      <c r="I2" s="14"/>
      <c r="J2" s="14"/>
    </row>
    <row r="3" spans="1:10" x14ac:dyDescent="0.35">
      <c r="A3" s="5" t="s">
        <v>151</v>
      </c>
      <c r="B3" s="6" t="s">
        <v>155</v>
      </c>
      <c r="C3" s="3" t="str">
        <f>VLOOKUP($D3,'Validation des données'!$A$1:$D$55,2,FALSE)</f>
        <v>Services </v>
      </c>
      <c r="D3" s="9" t="s">
        <v>44</v>
      </c>
      <c r="E3" s="3" t="str">
        <f>VLOOKUP($D3,'Validation des données'!$A$2:$D$55,4,FALSE)</f>
        <v>100 </v>
      </c>
      <c r="F3" s="3" t="str">
        <f>VLOOKUP($D3,'Validation des données'!$A$2:$D$55,3,FALSE)</f>
        <v>Exclusif </v>
      </c>
      <c r="G3" s="10">
        <v>44563</v>
      </c>
      <c r="H3" s="12" t="s">
        <v>6</v>
      </c>
      <c r="I3" s="14"/>
      <c r="J3" s="14"/>
    </row>
    <row r="4" spans="1:10" x14ac:dyDescent="0.35">
      <c r="A4" s="5" t="s">
        <v>152</v>
      </c>
      <c r="B4" s="6" t="s">
        <v>156</v>
      </c>
      <c r="C4" s="3" t="str">
        <f>VLOOKUP($D4,'Validation des données'!$A$1:$D$55,2,FALSE)</f>
        <v>Fournitures </v>
      </c>
      <c r="D4" s="9" t="s">
        <v>109</v>
      </c>
      <c r="E4" s="3" t="str">
        <f>VLOOKUP($D4,'Validation des données'!$A$2:$D$55,4,FALSE)</f>
        <v>30 </v>
      </c>
      <c r="F4" s="3" t="str">
        <f>VLOOKUP($D4,'Validation des données'!$A$2:$D$55,3,FALSE)</f>
        <v>Mixte </v>
      </c>
      <c r="G4" s="10">
        <v>44564</v>
      </c>
      <c r="H4" s="12" t="s">
        <v>157</v>
      </c>
      <c r="I4" s="14"/>
      <c r="J4" s="14"/>
    </row>
    <row r="5" spans="1:10" x14ac:dyDescent="0.35">
      <c r="A5" s="5"/>
      <c r="B5" s="6"/>
      <c r="C5" s="3" t="e">
        <f>VLOOKUP($D5,'Validation des données'!$A$1:$D$55,2,FALSE)</f>
        <v>#N/A</v>
      </c>
      <c r="D5" s="9"/>
      <c r="E5" s="3" t="e">
        <f>VLOOKUP($D5,'Validation des données'!$A$2:$D$55,4,FALSE)</f>
        <v>#N/A</v>
      </c>
      <c r="F5" s="3" t="e">
        <f>VLOOKUP($D5,'Validation des données'!$A$2:$D$55,3,FALSE)</f>
        <v>#N/A</v>
      </c>
      <c r="G5" s="10"/>
      <c r="H5" s="12"/>
      <c r="I5" s="14"/>
      <c r="J5" s="14"/>
    </row>
    <row r="6" spans="1:10" x14ac:dyDescent="0.35">
      <c r="A6" s="5"/>
      <c r="B6" s="6"/>
      <c r="C6" s="3" t="e">
        <f>VLOOKUP($D6,'Validation des données'!$A$1:$D$55,2,FALSE)</f>
        <v>#N/A</v>
      </c>
      <c r="D6" s="9"/>
      <c r="E6" s="3" t="e">
        <f>VLOOKUP($D6,'Validation des données'!$A$2:$D$55,4,FALSE)</f>
        <v>#N/A</v>
      </c>
      <c r="F6" s="3" t="e">
        <f>VLOOKUP($D6,'Validation des données'!$A$2:$D$55,3,FALSE)</f>
        <v>#N/A</v>
      </c>
      <c r="G6" s="10"/>
      <c r="H6" s="12"/>
      <c r="I6" s="14"/>
      <c r="J6" s="14"/>
    </row>
    <row r="7" spans="1:10" x14ac:dyDescent="0.35">
      <c r="A7" s="5"/>
      <c r="B7" s="6"/>
      <c r="C7" s="3" t="e">
        <f>VLOOKUP($D7,'Validation des données'!$A$1:$D$55,2,FALSE)</f>
        <v>#N/A</v>
      </c>
      <c r="D7" s="9"/>
      <c r="E7" s="3" t="e">
        <f>VLOOKUP($D7,'Validation des données'!$A$2:$D$55,4,FALSE)</f>
        <v>#N/A</v>
      </c>
      <c r="F7" s="3" t="e">
        <f>VLOOKUP($D7,'Validation des données'!$A$2:$D$55,3,FALSE)</f>
        <v>#N/A</v>
      </c>
      <c r="G7" s="10"/>
      <c r="H7" s="12"/>
      <c r="I7" s="14"/>
      <c r="J7" s="14"/>
    </row>
    <row r="8" spans="1:10" x14ac:dyDescent="0.35">
      <c r="A8" s="5"/>
      <c r="B8" s="6"/>
      <c r="C8" s="3" t="e">
        <f>VLOOKUP($D8,'Validation des données'!$A$1:$D$55,2,FALSE)</f>
        <v>#N/A</v>
      </c>
      <c r="D8" s="9"/>
      <c r="E8" s="3" t="e">
        <f>VLOOKUP($D8,'Validation des données'!$A$2:$D$55,4,FALSE)</f>
        <v>#N/A</v>
      </c>
      <c r="F8" s="3" t="e">
        <f>VLOOKUP($D8,'Validation des données'!$A$2:$D$55,3,FALSE)</f>
        <v>#N/A</v>
      </c>
      <c r="G8" s="10"/>
      <c r="H8" s="12"/>
      <c r="I8" s="14"/>
      <c r="J8" s="14"/>
    </row>
    <row r="9" spans="1:10" x14ac:dyDescent="0.35">
      <c r="A9" s="5"/>
      <c r="B9" s="6"/>
      <c r="C9" s="3" t="e">
        <f>VLOOKUP($D9,'Validation des données'!$A$1:$D$55,2,FALSE)</f>
        <v>#N/A</v>
      </c>
      <c r="D9" s="9"/>
      <c r="E9" s="3" t="e">
        <f>VLOOKUP($D9,'Validation des données'!$A$2:$D$55,4,FALSE)</f>
        <v>#N/A</v>
      </c>
      <c r="F9" s="3" t="e">
        <f>VLOOKUP($D9,'Validation des données'!$A$2:$D$55,3,FALSE)</f>
        <v>#N/A</v>
      </c>
      <c r="G9" s="10"/>
      <c r="H9" s="12"/>
      <c r="I9" s="14"/>
      <c r="J9" s="14"/>
    </row>
    <row r="10" spans="1:10" x14ac:dyDescent="0.35">
      <c r="A10" s="5"/>
      <c r="B10" s="6"/>
      <c r="C10" s="3" t="e">
        <f>VLOOKUP($D10,'Validation des données'!$A$1:$D$55,2,FALSE)</f>
        <v>#N/A</v>
      </c>
      <c r="D10" s="9"/>
      <c r="E10" s="3" t="e">
        <f>VLOOKUP($D10,'Validation des données'!$A$2:$D$55,4,FALSE)</f>
        <v>#N/A</v>
      </c>
      <c r="F10" s="3" t="e">
        <f>VLOOKUP($D10,'Validation des données'!$A$2:$D$55,3,FALSE)</f>
        <v>#N/A</v>
      </c>
      <c r="G10" s="10"/>
      <c r="H10" s="12"/>
      <c r="I10" s="14"/>
      <c r="J10" s="14"/>
    </row>
    <row r="11" spans="1:10" x14ac:dyDescent="0.35">
      <c r="A11" s="5"/>
      <c r="B11" s="6"/>
      <c r="C11" s="3" t="e">
        <f>VLOOKUP($D11,'Validation des données'!$A$1:$D$55,2,FALSE)</f>
        <v>#N/A</v>
      </c>
      <c r="D11" s="9"/>
      <c r="E11" s="3" t="e">
        <f>VLOOKUP($D11,'Validation des données'!$A$2:$D$55,4,FALSE)</f>
        <v>#N/A</v>
      </c>
      <c r="F11" s="3" t="e">
        <f>VLOOKUP($D11,'Validation des données'!$A$2:$D$55,3,FALSE)</f>
        <v>#N/A</v>
      </c>
      <c r="G11" s="10"/>
      <c r="H11" s="12"/>
      <c r="I11" s="14"/>
      <c r="J11" s="14"/>
    </row>
    <row r="12" spans="1:10" x14ac:dyDescent="0.35">
      <c r="A12" s="5"/>
      <c r="B12" s="6"/>
      <c r="C12" s="3" t="e">
        <f>VLOOKUP($D12,'Validation des données'!$A$1:$D$55,2,FALSE)</f>
        <v>#N/A</v>
      </c>
      <c r="D12" s="9"/>
      <c r="E12" s="3" t="e">
        <f>VLOOKUP($D12,'Validation des données'!$A$2:$D$55,4,FALSE)</f>
        <v>#N/A</v>
      </c>
      <c r="F12" s="3" t="e">
        <f>VLOOKUP($D12,'Validation des données'!$A$2:$D$55,3,FALSE)</f>
        <v>#N/A</v>
      </c>
      <c r="G12" s="10"/>
      <c r="H12" s="12"/>
      <c r="I12" s="14"/>
      <c r="J12" s="14"/>
    </row>
    <row r="13" spans="1:10" x14ac:dyDescent="0.35">
      <c r="A13" s="5"/>
      <c r="B13" s="6"/>
      <c r="C13" s="3" t="e">
        <f>VLOOKUP($D13,'Validation des données'!$A$1:$D$55,2,FALSE)</f>
        <v>#N/A</v>
      </c>
      <c r="D13" s="9"/>
      <c r="E13" s="3" t="e">
        <f>VLOOKUP($D13,'Validation des données'!$A$2:$D$55,4,FALSE)</f>
        <v>#N/A</v>
      </c>
      <c r="F13" s="3" t="e">
        <f>VLOOKUP($D13,'Validation des données'!$A$2:$D$55,3,FALSE)</f>
        <v>#N/A</v>
      </c>
      <c r="G13" s="10"/>
      <c r="H13" s="12"/>
      <c r="I13" s="14"/>
      <c r="J13" s="14"/>
    </row>
    <row r="14" spans="1:10" x14ac:dyDescent="0.35">
      <c r="A14" s="5"/>
      <c r="B14" s="6"/>
      <c r="C14" s="3" t="e">
        <f>VLOOKUP($D14,'Validation des données'!$A$1:$D$55,2,FALSE)</f>
        <v>#N/A</v>
      </c>
      <c r="D14" s="9"/>
      <c r="E14" s="3" t="e">
        <f>VLOOKUP($D14,'Validation des données'!$A$2:$D$55,4,FALSE)</f>
        <v>#N/A</v>
      </c>
      <c r="F14" s="3" t="e">
        <f>VLOOKUP($D14,'Validation des données'!$A$2:$D$55,3,FALSE)</f>
        <v>#N/A</v>
      </c>
      <c r="G14" s="10"/>
      <c r="H14" s="12"/>
      <c r="I14" s="14"/>
      <c r="J14" s="14"/>
    </row>
    <row r="15" spans="1:10" x14ac:dyDescent="0.35">
      <c r="A15" s="5"/>
      <c r="B15" s="6"/>
      <c r="C15" s="3" t="e">
        <f>VLOOKUP($D15,'Validation des données'!$A$1:$D$55,2,FALSE)</f>
        <v>#N/A</v>
      </c>
      <c r="D15" s="9"/>
      <c r="E15" s="3" t="e">
        <f>VLOOKUP($D15,'Validation des données'!$A$2:$D$55,4,FALSE)</f>
        <v>#N/A</v>
      </c>
      <c r="F15" s="3" t="e">
        <f>VLOOKUP($D15,'Validation des données'!$A$2:$D$55,3,FALSE)</f>
        <v>#N/A</v>
      </c>
      <c r="G15" s="10"/>
      <c r="H15" s="12"/>
      <c r="I15" s="14"/>
      <c r="J15" s="14"/>
    </row>
    <row r="16" spans="1:10" x14ac:dyDescent="0.35">
      <c r="A16" s="5"/>
      <c r="B16" s="6"/>
      <c r="C16" s="3" t="e">
        <f>VLOOKUP($D16,'Validation des données'!$A$1:$D$55,2,FALSE)</f>
        <v>#N/A</v>
      </c>
      <c r="D16" s="9"/>
      <c r="E16" s="3" t="e">
        <f>VLOOKUP($D16,'Validation des données'!$A$2:$D$55,4,FALSE)</f>
        <v>#N/A</v>
      </c>
      <c r="F16" s="3" t="e">
        <f>VLOOKUP($D16,'Validation des données'!$A$2:$D$55,3,FALSE)</f>
        <v>#N/A</v>
      </c>
      <c r="G16" s="10"/>
      <c r="H16" s="12"/>
      <c r="I16" s="14"/>
      <c r="J16" s="14"/>
    </row>
    <row r="17" spans="1:10" x14ac:dyDescent="0.35">
      <c r="A17" s="5"/>
      <c r="B17" s="6"/>
      <c r="C17" s="3" t="e">
        <f>VLOOKUP($D17,'Validation des données'!$A$1:$D$55,2,FALSE)</f>
        <v>#N/A</v>
      </c>
      <c r="D17" s="9"/>
      <c r="E17" s="3" t="e">
        <f>VLOOKUP($D17,'Validation des données'!$A$2:$D$55,4,FALSE)</f>
        <v>#N/A</v>
      </c>
      <c r="F17" s="3" t="e">
        <f>VLOOKUP($D17,'Validation des données'!$A$2:$D$55,3,FALSE)</f>
        <v>#N/A</v>
      </c>
      <c r="G17" s="10"/>
      <c r="H17" s="12"/>
      <c r="I17" s="14"/>
      <c r="J17" s="14"/>
    </row>
    <row r="18" spans="1:10" x14ac:dyDescent="0.35">
      <c r="A18" s="5"/>
      <c r="B18" s="6"/>
      <c r="C18" s="3" t="e">
        <f>VLOOKUP($D18,'Validation des données'!$A$1:$D$55,2,FALSE)</f>
        <v>#N/A</v>
      </c>
      <c r="D18" s="9"/>
      <c r="E18" s="3" t="e">
        <f>VLOOKUP($D18,'Validation des données'!$A$2:$D$55,4,FALSE)</f>
        <v>#N/A</v>
      </c>
      <c r="F18" s="3" t="e">
        <f>VLOOKUP($D18,'Validation des données'!$A$2:$D$55,3,FALSE)</f>
        <v>#N/A</v>
      </c>
      <c r="G18" s="10"/>
      <c r="H18" s="12"/>
      <c r="I18" s="14"/>
      <c r="J18" s="14"/>
    </row>
    <row r="19" spans="1:10" x14ac:dyDescent="0.35">
      <c r="A19" s="5"/>
      <c r="B19" s="6"/>
      <c r="C19" s="3" t="e">
        <f>VLOOKUP($D19,'Validation des données'!$A$1:$D$55,2,FALSE)</f>
        <v>#N/A</v>
      </c>
      <c r="D19" s="9"/>
      <c r="E19" s="3" t="e">
        <f>VLOOKUP($D19,'Validation des données'!$A$2:$D$55,4,FALSE)</f>
        <v>#N/A</v>
      </c>
      <c r="F19" s="3" t="e">
        <f>VLOOKUP($D19,'Validation des données'!$A$2:$D$55,3,FALSE)</f>
        <v>#N/A</v>
      </c>
      <c r="G19" s="10"/>
      <c r="H19" s="12"/>
      <c r="I19" s="14"/>
      <c r="J19" s="14"/>
    </row>
    <row r="20" spans="1:10" x14ac:dyDescent="0.35">
      <c r="A20" s="5"/>
      <c r="B20" s="6"/>
      <c r="C20" s="3" t="e">
        <f>VLOOKUP($D20,'Validation des données'!$A$1:$D$55,2,FALSE)</f>
        <v>#N/A</v>
      </c>
      <c r="D20" s="9"/>
      <c r="E20" s="3" t="e">
        <f>VLOOKUP($D20,'Validation des données'!$A$2:$D$55,4,FALSE)</f>
        <v>#N/A</v>
      </c>
      <c r="F20" s="3" t="e">
        <f>VLOOKUP($D20,'Validation des données'!$A$2:$D$55,3,FALSE)</f>
        <v>#N/A</v>
      </c>
      <c r="G20" s="10"/>
      <c r="H20" s="12"/>
      <c r="I20" s="14"/>
      <c r="J20" s="14"/>
    </row>
    <row r="21" spans="1:10" x14ac:dyDescent="0.35">
      <c r="A21" s="5"/>
      <c r="B21" s="6"/>
      <c r="C21" s="3" t="e">
        <f>VLOOKUP($D21,'Validation des données'!$A$1:$D$55,2,FALSE)</f>
        <v>#N/A</v>
      </c>
      <c r="D21" s="9"/>
      <c r="E21" s="3" t="e">
        <f>VLOOKUP($D21,'Validation des données'!$A$2:$D$55,4,FALSE)</f>
        <v>#N/A</v>
      </c>
      <c r="F21" s="3" t="e">
        <f>VLOOKUP($D21,'Validation des données'!$A$2:$D$55,3,FALSE)</f>
        <v>#N/A</v>
      </c>
      <c r="G21" s="10"/>
      <c r="H21" s="12"/>
      <c r="I21" s="14"/>
      <c r="J21" s="14"/>
    </row>
    <row r="22" spans="1:10" x14ac:dyDescent="0.35">
      <c r="A22" s="5"/>
      <c r="B22" s="6"/>
      <c r="C22" s="3" t="e">
        <f>VLOOKUP($D22,'Validation des données'!$A$1:$D$55,2,FALSE)</f>
        <v>#N/A</v>
      </c>
      <c r="D22" s="9"/>
      <c r="E22" s="3" t="e">
        <f>VLOOKUP($D22,'Validation des données'!$A$2:$D$55,4,FALSE)</f>
        <v>#N/A</v>
      </c>
      <c r="F22" s="3" t="e">
        <f>VLOOKUP($D22,'Validation des données'!$A$2:$D$55,3,FALSE)</f>
        <v>#N/A</v>
      </c>
      <c r="G22" s="10"/>
      <c r="H22" s="12"/>
      <c r="I22" s="14"/>
      <c r="J22" s="14"/>
    </row>
    <row r="23" spans="1:10" x14ac:dyDescent="0.35">
      <c r="A23" s="5"/>
      <c r="B23" s="6"/>
      <c r="C23" s="3" t="e">
        <f>VLOOKUP($D23,'Validation des données'!$A$1:$D$55,2,FALSE)</f>
        <v>#N/A</v>
      </c>
      <c r="D23" s="9"/>
      <c r="E23" s="3" t="e">
        <f>VLOOKUP($D23,'Validation des données'!$A$2:$D$55,4,FALSE)</f>
        <v>#N/A</v>
      </c>
      <c r="F23" s="3" t="e">
        <f>VLOOKUP($D23,'Validation des données'!$A$2:$D$55,3,FALSE)</f>
        <v>#N/A</v>
      </c>
      <c r="G23" s="10"/>
      <c r="H23" s="12"/>
      <c r="I23" s="14"/>
      <c r="J23" s="14"/>
    </row>
    <row r="24" spans="1:10" x14ac:dyDescent="0.35">
      <c r="A24" s="5"/>
      <c r="B24" s="6"/>
      <c r="C24" s="3" t="e">
        <f>VLOOKUP($D24,'Validation des données'!$A$1:$D$55,2,FALSE)</f>
        <v>#N/A</v>
      </c>
      <c r="D24" s="9"/>
      <c r="E24" s="3" t="e">
        <f>VLOOKUP($D24,'Validation des données'!$A$2:$D$55,4,FALSE)</f>
        <v>#N/A</v>
      </c>
      <c r="F24" s="3" t="e">
        <f>VLOOKUP($D24,'Validation des données'!$A$2:$D$55,3,FALSE)</f>
        <v>#N/A</v>
      </c>
      <c r="G24" s="10"/>
      <c r="H24" s="12"/>
      <c r="I24" s="14"/>
      <c r="J24" s="14"/>
    </row>
    <row r="25" spans="1:10" x14ac:dyDescent="0.35">
      <c r="A25" s="5"/>
      <c r="B25" s="6"/>
      <c r="C25" s="3" t="e">
        <f>VLOOKUP($D25,'Validation des données'!$A$1:$D$55,2,FALSE)</f>
        <v>#N/A</v>
      </c>
      <c r="D25" s="9"/>
      <c r="E25" s="3" t="e">
        <f>VLOOKUP($D25,'Validation des données'!$A$2:$D$55,4,FALSE)</f>
        <v>#N/A</v>
      </c>
      <c r="F25" s="3" t="e">
        <f>VLOOKUP($D25,'Validation des données'!$A$2:$D$55,3,FALSE)</f>
        <v>#N/A</v>
      </c>
      <c r="G25" s="10"/>
      <c r="H25" s="12"/>
      <c r="I25" s="14"/>
      <c r="J25" s="14"/>
    </row>
    <row r="26" spans="1:10" x14ac:dyDescent="0.35">
      <c r="A26" s="5"/>
      <c r="B26" s="6"/>
      <c r="C26" s="3" t="e">
        <f>VLOOKUP($D26,'Validation des données'!$A$1:$D$55,2,FALSE)</f>
        <v>#N/A</v>
      </c>
      <c r="D26" s="9"/>
      <c r="E26" s="3" t="e">
        <f>VLOOKUP($D26,'Validation des données'!$A$2:$D$55,4,FALSE)</f>
        <v>#N/A</v>
      </c>
      <c r="F26" s="3" t="e">
        <f>VLOOKUP($D26,'Validation des données'!$A$2:$D$55,3,FALSE)</f>
        <v>#N/A</v>
      </c>
      <c r="G26" s="10"/>
      <c r="H26" s="12"/>
      <c r="I26" s="14"/>
      <c r="J26" s="14"/>
    </row>
    <row r="27" spans="1:10" x14ac:dyDescent="0.35">
      <c r="A27" s="5"/>
      <c r="B27" s="6"/>
      <c r="C27" s="3" t="e">
        <f>VLOOKUP($D27,'Validation des données'!$A$1:$D$55,2,FALSE)</f>
        <v>#N/A</v>
      </c>
      <c r="D27" s="9"/>
      <c r="E27" s="3" t="e">
        <f>VLOOKUP($D27,'Validation des données'!$A$2:$D$55,4,FALSE)</f>
        <v>#N/A</v>
      </c>
      <c r="F27" s="3" t="e">
        <f>VLOOKUP($D27,'Validation des données'!$A$2:$D$55,3,FALSE)</f>
        <v>#N/A</v>
      </c>
      <c r="G27" s="10"/>
      <c r="H27" s="12"/>
      <c r="I27" s="14"/>
      <c r="J27" s="14"/>
    </row>
    <row r="28" spans="1:10" x14ac:dyDescent="0.35">
      <c r="A28" s="5"/>
      <c r="B28" s="6"/>
      <c r="C28" s="3" t="e">
        <f>VLOOKUP($D28,'Validation des données'!$A$1:$D$55,2,FALSE)</f>
        <v>#N/A</v>
      </c>
      <c r="D28" s="9"/>
      <c r="E28" s="3" t="e">
        <f>VLOOKUP($D28,'Validation des données'!$A$2:$D$55,4,FALSE)</f>
        <v>#N/A</v>
      </c>
      <c r="F28" s="3" t="e">
        <f>VLOOKUP($D28,'Validation des données'!$A$2:$D$55,3,FALSE)</f>
        <v>#N/A</v>
      </c>
      <c r="G28" s="10"/>
      <c r="H28" s="12"/>
      <c r="I28" s="14"/>
      <c r="J28" s="14"/>
    </row>
    <row r="29" spans="1:10" x14ac:dyDescent="0.35">
      <c r="A29" s="5"/>
      <c r="B29" s="6"/>
      <c r="C29" s="3" t="e">
        <f>VLOOKUP($D29,'Validation des données'!$A$1:$D$55,2,FALSE)</f>
        <v>#N/A</v>
      </c>
      <c r="D29" s="9"/>
      <c r="E29" s="3" t="e">
        <f>VLOOKUP($D29,'Validation des données'!$A$2:$D$55,4,FALSE)</f>
        <v>#N/A</v>
      </c>
      <c r="F29" s="3" t="e">
        <f>VLOOKUP($D29,'Validation des données'!$A$2:$D$55,3,FALSE)</f>
        <v>#N/A</v>
      </c>
      <c r="G29" s="10"/>
      <c r="H29" s="12"/>
      <c r="I29" s="14"/>
      <c r="J29" s="14"/>
    </row>
    <row r="30" spans="1:10" x14ac:dyDescent="0.35">
      <c r="A30" s="5"/>
      <c r="B30" s="6"/>
      <c r="C30" s="3" t="e">
        <f>VLOOKUP($D30,'Validation des données'!$A$1:$D$55,2,FALSE)</f>
        <v>#N/A</v>
      </c>
      <c r="D30" s="9"/>
      <c r="E30" s="3" t="e">
        <f>VLOOKUP($D30,'Validation des données'!$A$2:$D$55,4,FALSE)</f>
        <v>#N/A</v>
      </c>
      <c r="F30" s="3" t="e">
        <f>VLOOKUP($D30,'Validation des données'!$A$2:$D$55,3,FALSE)</f>
        <v>#N/A</v>
      </c>
      <c r="G30" s="10"/>
      <c r="H30" s="12"/>
      <c r="I30" s="14"/>
      <c r="J30" s="14"/>
    </row>
    <row r="31" spans="1:10" x14ac:dyDescent="0.35">
      <c r="A31" s="5"/>
      <c r="B31" s="6"/>
      <c r="C31" s="3" t="e">
        <f>VLOOKUP($D31,'Validation des données'!$A$1:$D$55,2,FALSE)</f>
        <v>#N/A</v>
      </c>
      <c r="D31" s="9"/>
      <c r="E31" s="3" t="e">
        <f>VLOOKUP($D31,'Validation des données'!$A$2:$D$55,4,FALSE)</f>
        <v>#N/A</v>
      </c>
      <c r="F31" s="3" t="e">
        <f>VLOOKUP($D31,'Validation des données'!$A$2:$D$55,3,FALSE)</f>
        <v>#N/A</v>
      </c>
      <c r="G31" s="10"/>
      <c r="H31" s="12"/>
      <c r="I31" s="14"/>
      <c r="J31" s="14"/>
    </row>
    <row r="32" spans="1:10" x14ac:dyDescent="0.35">
      <c r="A32" s="5"/>
      <c r="B32" s="6"/>
      <c r="C32" s="3" t="e">
        <f>VLOOKUP($D32,'Validation des données'!$A$1:$D$55,2,FALSE)</f>
        <v>#N/A</v>
      </c>
      <c r="D32" s="9"/>
      <c r="E32" s="3" t="e">
        <f>VLOOKUP($D32,'Validation des données'!$A$2:$D$55,4,FALSE)</f>
        <v>#N/A</v>
      </c>
      <c r="F32" s="3" t="e">
        <f>VLOOKUP($D32,'Validation des données'!$A$2:$D$55,3,FALSE)</f>
        <v>#N/A</v>
      </c>
      <c r="G32" s="10"/>
      <c r="H32" s="12"/>
      <c r="I32" s="14"/>
      <c r="J32" s="14"/>
    </row>
    <row r="33" spans="1:10" x14ac:dyDescent="0.35">
      <c r="A33" s="5"/>
      <c r="B33" s="6"/>
      <c r="C33" s="3" t="e">
        <f>VLOOKUP($D33,'Validation des données'!$A$1:$D$55,2,FALSE)</f>
        <v>#N/A</v>
      </c>
      <c r="D33" s="9"/>
      <c r="E33" s="3" t="e">
        <f>VLOOKUP($D33,'Validation des données'!$A$2:$D$55,4,FALSE)</f>
        <v>#N/A</v>
      </c>
      <c r="F33" s="3" t="e">
        <f>VLOOKUP($D33,'Validation des données'!$A$2:$D$55,3,FALSE)</f>
        <v>#N/A</v>
      </c>
      <c r="G33" s="10"/>
      <c r="H33" s="12"/>
      <c r="I33" s="14"/>
      <c r="J33" s="14"/>
    </row>
    <row r="34" spans="1:10" x14ac:dyDescent="0.35">
      <c r="A34" s="5"/>
      <c r="B34" s="6"/>
      <c r="C34" s="3" t="e">
        <f>VLOOKUP($D34,'Validation des données'!$A$1:$D$55,2,FALSE)</f>
        <v>#N/A</v>
      </c>
      <c r="D34" s="9"/>
      <c r="E34" s="3" t="e">
        <f>VLOOKUP($D34,'Validation des données'!$A$2:$D$55,4,FALSE)</f>
        <v>#N/A</v>
      </c>
      <c r="F34" s="3" t="e">
        <f>VLOOKUP($D34,'Validation des données'!$A$2:$D$55,3,FALSE)</f>
        <v>#N/A</v>
      </c>
      <c r="G34" s="10"/>
      <c r="H34" s="12"/>
      <c r="I34" s="14"/>
      <c r="J34" s="14"/>
    </row>
    <row r="35" spans="1:10" x14ac:dyDescent="0.35">
      <c r="A35" s="5"/>
      <c r="B35" s="6"/>
      <c r="C35" s="3" t="e">
        <f>VLOOKUP($D35,'Validation des données'!$A$1:$D$55,2,FALSE)</f>
        <v>#N/A</v>
      </c>
      <c r="D35" s="9"/>
      <c r="E35" s="3" t="e">
        <f>VLOOKUP($D35,'Validation des données'!$A$2:$D$55,4,FALSE)</f>
        <v>#N/A</v>
      </c>
      <c r="F35" s="3" t="e">
        <f>VLOOKUP($D35,'Validation des données'!$A$2:$D$55,3,FALSE)</f>
        <v>#N/A</v>
      </c>
      <c r="G35" s="10"/>
      <c r="H35" s="12"/>
      <c r="I35" s="14"/>
      <c r="J35" s="14"/>
    </row>
    <row r="36" spans="1:10" x14ac:dyDescent="0.35">
      <c r="A36" s="5"/>
      <c r="B36" s="6"/>
      <c r="C36" s="3" t="e">
        <f>VLOOKUP($D36,'Validation des données'!$A$1:$D$55,2,FALSE)</f>
        <v>#N/A</v>
      </c>
      <c r="D36" s="9"/>
      <c r="E36" s="3" t="e">
        <f>VLOOKUP($D36,'Validation des données'!$A$2:$D$55,4,FALSE)</f>
        <v>#N/A</v>
      </c>
      <c r="F36" s="3" t="e">
        <f>VLOOKUP($D36,'Validation des données'!$A$2:$D$55,3,FALSE)</f>
        <v>#N/A</v>
      </c>
      <c r="G36" s="10"/>
      <c r="H36" s="12"/>
      <c r="I36" s="14"/>
      <c r="J36" s="14"/>
    </row>
    <row r="37" spans="1:10" x14ac:dyDescent="0.35">
      <c r="A37" s="5"/>
      <c r="B37" s="6"/>
      <c r="C37" s="3" t="e">
        <f>VLOOKUP($D37,'Validation des données'!$A$1:$D$55,2,FALSE)</f>
        <v>#N/A</v>
      </c>
      <c r="D37" s="9"/>
      <c r="E37" s="3" t="e">
        <f>VLOOKUP($D37,'Validation des données'!$A$2:$D$55,4,FALSE)</f>
        <v>#N/A</v>
      </c>
      <c r="F37" s="3" t="e">
        <f>VLOOKUP($D37,'Validation des données'!$A$2:$D$55,3,FALSE)</f>
        <v>#N/A</v>
      </c>
      <c r="G37" s="10"/>
      <c r="H37" s="12"/>
      <c r="I37" s="14"/>
      <c r="J37" s="14"/>
    </row>
    <row r="38" spans="1:10" x14ac:dyDescent="0.35">
      <c r="A38" s="5"/>
      <c r="B38" s="6"/>
      <c r="C38" s="3" t="e">
        <f>VLOOKUP($D38,'Validation des données'!$A$1:$D$55,2,FALSE)</f>
        <v>#N/A</v>
      </c>
      <c r="D38" s="9"/>
      <c r="E38" s="3" t="e">
        <f>VLOOKUP($D38,'Validation des données'!$A$2:$D$55,4,FALSE)</f>
        <v>#N/A</v>
      </c>
      <c r="F38" s="3" t="e">
        <f>VLOOKUP($D38,'Validation des données'!$A$2:$D$55,3,FALSE)</f>
        <v>#N/A</v>
      </c>
      <c r="G38" s="10"/>
      <c r="H38" s="12"/>
      <c r="I38" s="14"/>
      <c r="J38" s="14"/>
    </row>
    <row r="39" spans="1:10" x14ac:dyDescent="0.35">
      <c r="A39" s="5"/>
      <c r="B39" s="6"/>
      <c r="C39" s="3" t="e">
        <f>VLOOKUP($D39,'Validation des données'!$A$1:$D$55,2,FALSE)</f>
        <v>#N/A</v>
      </c>
      <c r="D39" s="9"/>
      <c r="E39" s="3" t="e">
        <f>VLOOKUP($D39,'Validation des données'!$A$2:$D$55,4,FALSE)</f>
        <v>#N/A</v>
      </c>
      <c r="F39" s="3" t="e">
        <f>VLOOKUP($D39,'Validation des données'!$A$2:$D$55,3,FALSE)</f>
        <v>#N/A</v>
      </c>
      <c r="G39" s="10"/>
      <c r="H39" s="12"/>
      <c r="I39" s="14"/>
      <c r="J39" s="14"/>
    </row>
    <row r="40" spans="1:10" x14ac:dyDescent="0.35">
      <c r="A40" s="5"/>
      <c r="B40" s="6"/>
      <c r="C40" s="3" t="e">
        <f>VLOOKUP($D40,'Validation des données'!$A$1:$D$55,2,FALSE)</f>
        <v>#N/A</v>
      </c>
      <c r="D40" s="9"/>
      <c r="E40" s="3" t="e">
        <f>VLOOKUP($D40,'Validation des données'!$A$2:$D$55,4,FALSE)</f>
        <v>#N/A</v>
      </c>
      <c r="F40" s="3" t="e">
        <f>VLOOKUP($D40,'Validation des données'!$A$2:$D$55,3,FALSE)</f>
        <v>#N/A</v>
      </c>
      <c r="G40" s="10"/>
      <c r="H40" s="12"/>
      <c r="I40" s="14"/>
      <c r="J40" s="14"/>
    </row>
    <row r="41" spans="1:10" x14ac:dyDescent="0.35">
      <c r="A41" s="5"/>
      <c r="B41" s="6"/>
      <c r="C41" s="3" t="e">
        <f>VLOOKUP($D41,'Validation des données'!$A$1:$D$55,2,FALSE)</f>
        <v>#N/A</v>
      </c>
      <c r="D41" s="9"/>
      <c r="E41" s="3" t="e">
        <f>VLOOKUP($D41,'Validation des données'!$A$2:$D$55,4,FALSE)</f>
        <v>#N/A</v>
      </c>
      <c r="F41" s="3" t="e">
        <f>VLOOKUP($D41,'Validation des données'!$A$2:$D$55,3,FALSE)</f>
        <v>#N/A</v>
      </c>
      <c r="G41" s="10"/>
      <c r="H41" s="12"/>
      <c r="I41" s="14"/>
      <c r="J41" s="14"/>
    </row>
    <row r="42" spans="1:10" x14ac:dyDescent="0.35">
      <c r="A42" s="5"/>
      <c r="B42" s="6"/>
      <c r="C42" s="3" t="e">
        <f>VLOOKUP($D42,'Validation des données'!$A$1:$D$55,2,FALSE)</f>
        <v>#N/A</v>
      </c>
      <c r="D42" s="9"/>
      <c r="E42" s="3" t="e">
        <f>VLOOKUP($D42,'Validation des données'!$A$2:$D$55,4,FALSE)</f>
        <v>#N/A</v>
      </c>
      <c r="F42" s="3" t="e">
        <f>VLOOKUP($D42,'Validation des données'!$A$2:$D$55,3,FALSE)</f>
        <v>#N/A</v>
      </c>
      <c r="G42" s="10"/>
      <c r="H42" s="12"/>
      <c r="I42" s="14"/>
      <c r="J42" s="14"/>
    </row>
    <row r="43" spans="1:10" x14ac:dyDescent="0.35">
      <c r="A43" s="5"/>
      <c r="B43" s="6"/>
      <c r="C43" s="3" t="e">
        <f>VLOOKUP($D43,'Validation des données'!$A$1:$D$55,2,FALSE)</f>
        <v>#N/A</v>
      </c>
      <c r="D43" s="9"/>
      <c r="E43" s="3" t="e">
        <f>VLOOKUP($D43,'Validation des données'!$A$2:$D$55,4,FALSE)</f>
        <v>#N/A</v>
      </c>
      <c r="F43" s="3" t="e">
        <f>VLOOKUP($D43,'Validation des données'!$A$2:$D$55,3,FALSE)</f>
        <v>#N/A</v>
      </c>
      <c r="G43" s="10"/>
      <c r="H43" s="12"/>
      <c r="I43" s="14"/>
      <c r="J43" s="14"/>
    </row>
    <row r="44" spans="1:10" x14ac:dyDescent="0.35">
      <c r="A44" s="5"/>
      <c r="B44" s="6"/>
      <c r="C44" s="3" t="e">
        <f>VLOOKUP($D44,'Validation des données'!$A$1:$D$55,2,FALSE)</f>
        <v>#N/A</v>
      </c>
      <c r="D44" s="9"/>
      <c r="E44" s="3" t="e">
        <f>VLOOKUP($D44,'Validation des données'!$A$2:$D$55,4,FALSE)</f>
        <v>#N/A</v>
      </c>
      <c r="F44" s="3" t="e">
        <f>VLOOKUP($D44,'Validation des données'!$A$2:$D$55,3,FALSE)</f>
        <v>#N/A</v>
      </c>
      <c r="G44" s="10"/>
      <c r="H44" s="12"/>
      <c r="I44" s="14"/>
      <c r="J44" s="14"/>
    </row>
    <row r="45" spans="1:10" x14ac:dyDescent="0.35">
      <c r="A45" s="5"/>
      <c r="B45" s="6"/>
      <c r="C45" s="3" t="e">
        <f>VLOOKUP($D45,'Validation des données'!$A$1:$D$55,2,FALSE)</f>
        <v>#N/A</v>
      </c>
      <c r="D45" s="9"/>
      <c r="E45" s="3" t="e">
        <f>VLOOKUP($D45,'Validation des données'!$A$2:$D$55,4,FALSE)</f>
        <v>#N/A</v>
      </c>
      <c r="F45" s="3" t="e">
        <f>VLOOKUP($D45,'Validation des données'!$A$2:$D$55,3,FALSE)</f>
        <v>#N/A</v>
      </c>
      <c r="G45" s="10"/>
      <c r="H45" s="12"/>
      <c r="I45" s="14"/>
      <c r="J45" s="14"/>
    </row>
    <row r="46" spans="1:10" x14ac:dyDescent="0.35">
      <c r="A46" s="5"/>
      <c r="B46" s="6"/>
      <c r="C46" s="3" t="e">
        <f>VLOOKUP($D46,'Validation des données'!$A$1:$D$55,2,FALSE)</f>
        <v>#N/A</v>
      </c>
      <c r="D46" s="9"/>
      <c r="E46" s="3" t="e">
        <f>VLOOKUP($D46,'Validation des données'!$A$2:$D$55,4,FALSE)</f>
        <v>#N/A</v>
      </c>
      <c r="F46" s="3" t="e">
        <f>VLOOKUP($D46,'Validation des données'!$A$2:$D$55,3,FALSE)</f>
        <v>#N/A</v>
      </c>
      <c r="G46" s="10"/>
      <c r="H46" s="12"/>
      <c r="I46" s="14"/>
      <c r="J46" s="14"/>
    </row>
    <row r="47" spans="1:10" x14ac:dyDescent="0.35">
      <c r="A47" s="5"/>
      <c r="B47" s="6"/>
      <c r="C47" s="3" t="e">
        <f>VLOOKUP($D47,'Validation des données'!$A$1:$D$55,2,FALSE)</f>
        <v>#N/A</v>
      </c>
      <c r="D47" s="9"/>
      <c r="E47" s="3" t="e">
        <f>VLOOKUP($D47,'Validation des données'!$A$2:$D$55,4,FALSE)</f>
        <v>#N/A</v>
      </c>
      <c r="F47" s="3" t="e">
        <f>VLOOKUP($D47,'Validation des données'!$A$2:$D$55,3,FALSE)</f>
        <v>#N/A</v>
      </c>
      <c r="G47" s="10"/>
      <c r="H47" s="12"/>
      <c r="I47" s="14"/>
      <c r="J47" s="14"/>
    </row>
    <row r="48" spans="1:10" x14ac:dyDescent="0.35">
      <c r="A48" s="5"/>
      <c r="B48" s="6"/>
      <c r="C48" s="3" t="e">
        <f>VLOOKUP($D48,'Validation des données'!$A$1:$D$55,2,FALSE)</f>
        <v>#N/A</v>
      </c>
      <c r="D48" s="9"/>
      <c r="E48" s="3" t="e">
        <f>VLOOKUP($D48,'Validation des données'!$A$2:$D$55,4,FALSE)</f>
        <v>#N/A</v>
      </c>
      <c r="F48" s="3" t="e">
        <f>VLOOKUP($D48,'Validation des données'!$A$2:$D$55,3,FALSE)</f>
        <v>#N/A</v>
      </c>
      <c r="G48" s="10"/>
      <c r="H48" s="12"/>
      <c r="I48" s="14"/>
      <c r="J48" s="14"/>
    </row>
    <row r="49" spans="1:10" x14ac:dyDescent="0.35">
      <c r="A49" s="5"/>
      <c r="B49" s="6"/>
      <c r="C49" s="3" t="e">
        <f>VLOOKUP($D49,'Validation des données'!$A$1:$D$55,2,FALSE)</f>
        <v>#N/A</v>
      </c>
      <c r="D49" s="9"/>
      <c r="E49" s="3" t="e">
        <f>VLOOKUP($D49,'Validation des données'!$A$2:$D$55,4,FALSE)</f>
        <v>#N/A</v>
      </c>
      <c r="F49" s="3" t="e">
        <f>VLOOKUP($D49,'Validation des données'!$A$2:$D$55,3,FALSE)</f>
        <v>#N/A</v>
      </c>
      <c r="G49" s="10"/>
      <c r="H49" s="12"/>
      <c r="I49" s="14"/>
      <c r="J49" s="14"/>
    </row>
    <row r="50" spans="1:10" x14ac:dyDescent="0.35">
      <c r="A50" s="5"/>
      <c r="B50" s="6"/>
      <c r="C50" s="3" t="e">
        <f>VLOOKUP($D50,'Validation des données'!$A$1:$D$55,2,FALSE)</f>
        <v>#N/A</v>
      </c>
      <c r="D50" s="9"/>
      <c r="E50" s="3" t="e">
        <f>VLOOKUP($D50,'Validation des données'!$A$2:$D$55,4,FALSE)</f>
        <v>#N/A</v>
      </c>
      <c r="F50" s="3" t="e">
        <f>VLOOKUP($D50,'Validation des données'!$A$2:$D$55,3,FALSE)</f>
        <v>#N/A</v>
      </c>
      <c r="G50" s="10"/>
      <c r="H50" s="12"/>
      <c r="I50" s="14"/>
      <c r="J50" s="14"/>
    </row>
    <row r="51" spans="1:10" x14ac:dyDescent="0.35">
      <c r="A51" s="5"/>
      <c r="B51" s="6"/>
      <c r="C51" s="3" t="e">
        <f>VLOOKUP($D51,'Validation des données'!$A$1:$D$55,2,FALSE)</f>
        <v>#N/A</v>
      </c>
      <c r="D51" s="9"/>
      <c r="E51" s="3" t="e">
        <f>VLOOKUP($D51,'Validation des données'!$A$2:$D$55,4,FALSE)</f>
        <v>#N/A</v>
      </c>
      <c r="F51" s="3" t="e">
        <f>VLOOKUP($D51,'Validation des données'!$A$2:$D$55,3,FALSE)</f>
        <v>#N/A</v>
      </c>
      <c r="G51" s="10"/>
      <c r="H51" s="12"/>
      <c r="I51" s="14"/>
      <c r="J51" s="14"/>
    </row>
    <row r="52" spans="1:10" x14ac:dyDescent="0.35">
      <c r="A52" s="5"/>
      <c r="B52" s="6"/>
      <c r="C52" s="3" t="e">
        <f>VLOOKUP($D52,'Validation des données'!$A$1:$D$55,2,FALSE)</f>
        <v>#N/A</v>
      </c>
      <c r="D52" s="9"/>
      <c r="E52" s="3" t="e">
        <f>VLOOKUP($D52,'Validation des données'!$A$2:$D$55,4,FALSE)</f>
        <v>#N/A</v>
      </c>
      <c r="F52" s="3" t="e">
        <f>VLOOKUP($D52,'Validation des données'!$A$2:$D$55,3,FALSE)</f>
        <v>#N/A</v>
      </c>
      <c r="G52" s="10"/>
      <c r="H52" s="12"/>
      <c r="I52" s="14"/>
      <c r="J52" s="14"/>
    </row>
    <row r="53" spans="1:10" x14ac:dyDescent="0.35">
      <c r="A53" s="5"/>
      <c r="B53" s="6"/>
      <c r="C53" s="3" t="e">
        <f>VLOOKUP($D53,'Validation des données'!$A$1:$D$55,2,FALSE)</f>
        <v>#N/A</v>
      </c>
      <c r="D53" s="9"/>
      <c r="E53" s="3" t="e">
        <f>VLOOKUP($D53,'Validation des données'!$A$2:$D$55,4,FALSE)</f>
        <v>#N/A</v>
      </c>
      <c r="F53" s="3" t="e">
        <f>VLOOKUP($D53,'Validation des données'!$A$2:$D$55,3,FALSE)</f>
        <v>#N/A</v>
      </c>
      <c r="G53" s="10"/>
      <c r="H53" s="12"/>
      <c r="I53" s="14"/>
      <c r="J53" s="14"/>
    </row>
    <row r="54" spans="1:10" x14ac:dyDescent="0.35">
      <c r="A54" s="5"/>
      <c r="B54" s="6"/>
      <c r="C54" s="3" t="e">
        <f>VLOOKUP($D54,'Validation des données'!$A$1:$D$55,2,FALSE)</f>
        <v>#N/A</v>
      </c>
      <c r="D54" s="9"/>
      <c r="E54" s="3" t="e">
        <f>VLOOKUP($D54,'Validation des données'!$A$2:$D$55,4,FALSE)</f>
        <v>#N/A</v>
      </c>
      <c r="F54" s="3" t="e">
        <f>VLOOKUP($D54,'Validation des données'!$A$2:$D$55,3,FALSE)</f>
        <v>#N/A</v>
      </c>
      <c r="G54" s="10"/>
      <c r="H54" s="12"/>
      <c r="I54" s="14"/>
      <c r="J54" s="14"/>
    </row>
    <row r="55" spans="1:10" x14ac:dyDescent="0.35">
      <c r="A55" s="5"/>
      <c r="B55" s="6"/>
      <c r="C55" s="3" t="e">
        <f>VLOOKUP($D55,'Validation des données'!$A$1:$D$55,2,FALSE)</f>
        <v>#N/A</v>
      </c>
      <c r="D55" s="9"/>
      <c r="E55" s="3" t="e">
        <f>VLOOKUP($D55,'Validation des données'!$A$2:$D$55,4,FALSE)</f>
        <v>#N/A</v>
      </c>
      <c r="F55" s="3" t="e">
        <f>VLOOKUP($D55,'Validation des données'!$A$2:$D$55,3,FALSE)</f>
        <v>#N/A</v>
      </c>
      <c r="G55" s="10"/>
      <c r="H55" s="12"/>
      <c r="I55" s="14"/>
      <c r="J55" s="14"/>
    </row>
    <row r="56" spans="1:10" x14ac:dyDescent="0.35">
      <c r="A56" s="5"/>
      <c r="B56" s="6"/>
      <c r="C56" s="3" t="e">
        <f>VLOOKUP($D56,'Validation des données'!$A$1:$D$55,2,FALSE)</f>
        <v>#N/A</v>
      </c>
      <c r="D56" s="9"/>
      <c r="E56" s="3" t="e">
        <f>VLOOKUP($D56,'Validation des données'!$A$2:$D$55,4,FALSE)</f>
        <v>#N/A</v>
      </c>
      <c r="F56" s="3" t="e">
        <f>VLOOKUP($D56,'Validation des données'!$A$2:$D$55,3,FALSE)</f>
        <v>#N/A</v>
      </c>
      <c r="G56" s="10"/>
      <c r="H56" s="12"/>
      <c r="I56" s="14"/>
      <c r="J56" s="14"/>
    </row>
    <row r="57" spans="1:10" x14ac:dyDescent="0.35">
      <c r="A57" s="5"/>
      <c r="B57" s="6"/>
      <c r="C57" s="3" t="e">
        <f>VLOOKUP($D57,'Validation des données'!$A$1:$D$55,2,FALSE)</f>
        <v>#N/A</v>
      </c>
      <c r="D57" s="9"/>
      <c r="E57" s="3" t="e">
        <f>VLOOKUP($D57,'Validation des données'!$A$2:$D$55,4,FALSE)</f>
        <v>#N/A</v>
      </c>
      <c r="F57" s="3" t="e">
        <f>VLOOKUP($D57,'Validation des données'!$A$2:$D$55,3,FALSE)</f>
        <v>#N/A</v>
      </c>
      <c r="G57" s="10"/>
      <c r="H57" s="12"/>
      <c r="I57" s="14"/>
      <c r="J57" s="14"/>
    </row>
    <row r="58" spans="1:10" x14ac:dyDescent="0.35">
      <c r="A58" s="5"/>
      <c r="B58" s="6"/>
      <c r="C58" s="3" t="e">
        <f>VLOOKUP($D58,'Validation des données'!$A$1:$D$55,2,FALSE)</f>
        <v>#N/A</v>
      </c>
      <c r="D58" s="9"/>
      <c r="E58" s="3" t="e">
        <f>VLOOKUP($D58,'Validation des données'!$A$2:$D$55,4,FALSE)</f>
        <v>#N/A</v>
      </c>
      <c r="F58" s="3" t="e">
        <f>VLOOKUP($D58,'Validation des données'!$A$2:$D$55,3,FALSE)</f>
        <v>#N/A</v>
      </c>
      <c r="G58" s="10"/>
      <c r="H58" s="12"/>
      <c r="I58" s="14"/>
      <c r="J58" s="14"/>
    </row>
    <row r="59" spans="1:10" x14ac:dyDescent="0.35">
      <c r="A59" s="5"/>
      <c r="B59" s="6"/>
      <c r="C59" s="3" t="e">
        <f>VLOOKUP($D59,'Validation des données'!$A$1:$D$55,2,FALSE)</f>
        <v>#N/A</v>
      </c>
      <c r="D59" s="9"/>
      <c r="E59" s="3" t="e">
        <f>VLOOKUP($D59,'Validation des données'!$A$2:$D$55,4,FALSE)</f>
        <v>#N/A</v>
      </c>
      <c r="F59" s="3" t="e">
        <f>VLOOKUP($D59,'Validation des données'!$A$2:$D$55,3,FALSE)</f>
        <v>#N/A</v>
      </c>
      <c r="G59" s="10"/>
      <c r="H59" s="12"/>
      <c r="I59" s="14"/>
      <c r="J59" s="14"/>
    </row>
    <row r="60" spans="1:10" x14ac:dyDescent="0.35">
      <c r="A60" s="5"/>
      <c r="B60" s="6"/>
      <c r="C60" s="3" t="e">
        <f>VLOOKUP($D60,'Validation des données'!$A$1:$D$55,2,FALSE)</f>
        <v>#N/A</v>
      </c>
      <c r="D60" s="9"/>
      <c r="E60" s="3" t="e">
        <f>VLOOKUP($D60,'Validation des données'!$A$2:$D$55,4,FALSE)</f>
        <v>#N/A</v>
      </c>
      <c r="F60" s="3" t="e">
        <f>VLOOKUP($D60,'Validation des données'!$A$2:$D$55,3,FALSE)</f>
        <v>#N/A</v>
      </c>
      <c r="G60" s="10"/>
      <c r="H60" s="12"/>
      <c r="I60" s="14"/>
      <c r="J60" s="14"/>
    </row>
    <row r="61" spans="1:10" x14ac:dyDescent="0.35">
      <c r="A61" s="5"/>
      <c r="B61" s="6"/>
      <c r="C61" s="3" t="e">
        <f>VLOOKUP($D61,'Validation des données'!$A$1:$D$55,2,FALSE)</f>
        <v>#N/A</v>
      </c>
      <c r="D61" s="9"/>
      <c r="E61" s="3" t="e">
        <f>VLOOKUP($D61,'Validation des données'!$A$2:$D$55,4,FALSE)</f>
        <v>#N/A</v>
      </c>
      <c r="F61" s="3" t="e">
        <f>VLOOKUP($D61,'Validation des données'!$A$2:$D$55,3,FALSE)</f>
        <v>#N/A</v>
      </c>
      <c r="G61" s="10"/>
      <c r="H61" s="12"/>
      <c r="I61" s="14"/>
      <c r="J61" s="14"/>
    </row>
    <row r="62" spans="1:10" x14ac:dyDescent="0.35">
      <c r="A62" s="5"/>
      <c r="B62" s="6"/>
      <c r="C62" s="3" t="e">
        <f>VLOOKUP($D62,'Validation des données'!$A$1:$D$55,2,FALSE)</f>
        <v>#N/A</v>
      </c>
      <c r="D62" s="9"/>
      <c r="E62" s="3" t="e">
        <f>VLOOKUP($D62,'Validation des données'!$A$2:$D$55,4,FALSE)</f>
        <v>#N/A</v>
      </c>
      <c r="F62" s="3" t="e">
        <f>VLOOKUP($D62,'Validation des données'!$A$2:$D$55,3,FALSE)</f>
        <v>#N/A</v>
      </c>
      <c r="G62" s="10"/>
      <c r="H62" s="12"/>
      <c r="I62" s="14"/>
      <c r="J62" s="14"/>
    </row>
    <row r="63" spans="1:10" x14ac:dyDescent="0.35">
      <c r="A63" s="5"/>
      <c r="B63" s="6"/>
      <c r="C63" s="3" t="e">
        <f>VLOOKUP($D63,'Validation des données'!$A$1:$D$55,2,FALSE)</f>
        <v>#N/A</v>
      </c>
      <c r="D63" s="9"/>
      <c r="E63" s="3" t="e">
        <f>VLOOKUP($D63,'Validation des données'!$A$2:$D$55,4,FALSE)</f>
        <v>#N/A</v>
      </c>
      <c r="F63" s="3" t="e">
        <f>VLOOKUP($D63,'Validation des données'!$A$2:$D$55,3,FALSE)</f>
        <v>#N/A</v>
      </c>
      <c r="G63" s="10"/>
      <c r="H63" s="12"/>
      <c r="I63" s="14"/>
      <c r="J63" s="14"/>
    </row>
    <row r="64" spans="1:10" x14ac:dyDescent="0.35">
      <c r="A64" s="5"/>
      <c r="B64" s="6"/>
      <c r="C64" s="3" t="e">
        <f>VLOOKUP($D64,'Validation des données'!$A$1:$D$55,2,FALSE)</f>
        <v>#N/A</v>
      </c>
      <c r="D64" s="9"/>
      <c r="E64" s="3" t="e">
        <f>VLOOKUP($D64,'Validation des données'!$A$2:$D$55,4,FALSE)</f>
        <v>#N/A</v>
      </c>
      <c r="F64" s="3" t="e">
        <f>VLOOKUP($D64,'Validation des données'!$A$2:$D$55,3,FALSE)</f>
        <v>#N/A</v>
      </c>
      <c r="G64" s="10"/>
      <c r="H64" s="12"/>
      <c r="I64" s="14"/>
      <c r="J64" s="14"/>
    </row>
    <row r="65" spans="1:10" x14ac:dyDescent="0.35">
      <c r="A65" s="5"/>
      <c r="B65" s="6"/>
      <c r="C65" s="3" t="e">
        <f>VLOOKUP($D65,'Validation des données'!$A$1:$D$55,2,FALSE)</f>
        <v>#N/A</v>
      </c>
      <c r="D65" s="9"/>
      <c r="E65" s="3" t="e">
        <f>VLOOKUP($D65,'Validation des données'!$A$2:$D$55,4,FALSE)</f>
        <v>#N/A</v>
      </c>
      <c r="F65" s="3" t="e">
        <f>VLOOKUP($D65,'Validation des données'!$A$2:$D$55,3,FALSE)</f>
        <v>#N/A</v>
      </c>
      <c r="G65" s="10"/>
      <c r="H65" s="12"/>
      <c r="I65" s="14"/>
      <c r="J65" s="14"/>
    </row>
    <row r="66" spans="1:10" x14ac:dyDescent="0.35">
      <c r="A66" s="5"/>
      <c r="B66" s="6"/>
      <c r="C66" s="3" t="e">
        <f>VLOOKUP($D66,'Validation des données'!$A$1:$D$55,2,FALSE)</f>
        <v>#N/A</v>
      </c>
      <c r="D66" s="9"/>
      <c r="E66" s="3" t="e">
        <f>VLOOKUP($D66,'Validation des données'!$A$2:$D$55,4,FALSE)</f>
        <v>#N/A</v>
      </c>
      <c r="F66" s="3" t="e">
        <f>VLOOKUP($D66,'Validation des données'!$A$2:$D$55,3,FALSE)</f>
        <v>#N/A</v>
      </c>
      <c r="G66" s="10"/>
      <c r="H66" s="12"/>
      <c r="I66" s="14"/>
      <c r="J66" s="14"/>
    </row>
    <row r="67" spans="1:10" x14ac:dyDescent="0.35">
      <c r="A67" s="5"/>
      <c r="B67" s="6"/>
      <c r="C67" s="3" t="e">
        <f>VLOOKUP($D67,'Validation des données'!$A$1:$D$55,2,FALSE)</f>
        <v>#N/A</v>
      </c>
      <c r="D67" s="9"/>
      <c r="E67" s="3" t="e">
        <f>VLOOKUP($D67,'Validation des données'!$A$2:$D$55,4,FALSE)</f>
        <v>#N/A</v>
      </c>
      <c r="F67" s="3" t="e">
        <f>VLOOKUP($D67,'Validation des données'!$A$2:$D$55,3,FALSE)</f>
        <v>#N/A</v>
      </c>
      <c r="G67" s="10"/>
      <c r="H67" s="12"/>
      <c r="I67" s="14"/>
      <c r="J67" s="14"/>
    </row>
    <row r="68" spans="1:10" x14ac:dyDescent="0.35">
      <c r="A68" s="5"/>
      <c r="B68" s="6"/>
      <c r="C68" s="3" t="e">
        <f>VLOOKUP($D68,'Validation des données'!$A$1:$D$55,2,FALSE)</f>
        <v>#N/A</v>
      </c>
      <c r="D68" s="9"/>
      <c r="E68" s="3" t="e">
        <f>VLOOKUP($D68,'Validation des données'!$A$2:$D$55,4,FALSE)</f>
        <v>#N/A</v>
      </c>
      <c r="F68" s="3" t="e">
        <f>VLOOKUP($D68,'Validation des données'!$A$2:$D$55,3,FALSE)</f>
        <v>#N/A</v>
      </c>
      <c r="G68" s="10"/>
      <c r="H68" s="12"/>
      <c r="I68" s="14"/>
      <c r="J68" s="14"/>
    </row>
    <row r="69" spans="1:10" x14ac:dyDescent="0.35">
      <c r="A69" s="5"/>
      <c r="B69" s="6"/>
      <c r="C69" s="3" t="e">
        <f>VLOOKUP($D69,'Validation des données'!$A$1:$D$55,2,FALSE)</f>
        <v>#N/A</v>
      </c>
      <c r="D69" s="9"/>
      <c r="E69" s="3" t="e">
        <f>VLOOKUP($D69,'Validation des données'!$A$2:$D$55,4,FALSE)</f>
        <v>#N/A</v>
      </c>
      <c r="F69" s="3" t="e">
        <f>VLOOKUP($D69,'Validation des données'!$A$2:$D$55,3,FALSE)</f>
        <v>#N/A</v>
      </c>
      <c r="G69" s="10"/>
      <c r="H69" s="12"/>
      <c r="I69" s="14"/>
      <c r="J69" s="14"/>
    </row>
    <row r="70" spans="1:10" x14ac:dyDescent="0.35">
      <c r="A70" s="5"/>
      <c r="B70" s="6"/>
      <c r="C70" s="3" t="e">
        <f>VLOOKUP($D70,'Validation des données'!$A$1:$D$55,2,FALSE)</f>
        <v>#N/A</v>
      </c>
      <c r="D70" s="9"/>
      <c r="E70" s="3" t="e">
        <f>VLOOKUP($D70,'Validation des données'!$A$2:$D$55,4,FALSE)</f>
        <v>#N/A</v>
      </c>
      <c r="F70" s="3" t="e">
        <f>VLOOKUP($D70,'Validation des données'!$A$2:$D$55,3,FALSE)</f>
        <v>#N/A</v>
      </c>
      <c r="G70" s="10"/>
      <c r="H70" s="12"/>
      <c r="I70" s="14"/>
      <c r="J70" s="14"/>
    </row>
    <row r="71" spans="1:10" x14ac:dyDescent="0.35">
      <c r="A71" s="5"/>
      <c r="B71" s="6"/>
      <c r="C71" s="3" t="e">
        <f>VLOOKUP($D71,'Validation des données'!$A$1:$D$55,2,FALSE)</f>
        <v>#N/A</v>
      </c>
      <c r="D71" s="9"/>
      <c r="E71" s="3" t="e">
        <f>VLOOKUP($D71,'Validation des données'!$A$2:$D$55,4,FALSE)</f>
        <v>#N/A</v>
      </c>
      <c r="F71" s="3" t="e">
        <f>VLOOKUP($D71,'Validation des données'!$A$2:$D$55,3,FALSE)</f>
        <v>#N/A</v>
      </c>
      <c r="G71" s="10"/>
      <c r="H71" s="12"/>
      <c r="I71" s="14"/>
      <c r="J71" s="14"/>
    </row>
    <row r="72" spans="1:10" x14ac:dyDescent="0.35">
      <c r="A72" s="5"/>
      <c r="B72" s="6"/>
      <c r="C72" s="3" t="e">
        <f>VLOOKUP($D72,'Validation des données'!$A$1:$D$55,2,FALSE)</f>
        <v>#N/A</v>
      </c>
      <c r="D72" s="9"/>
      <c r="E72" s="3" t="e">
        <f>VLOOKUP($D72,'Validation des données'!$A$2:$D$55,4,FALSE)</f>
        <v>#N/A</v>
      </c>
      <c r="F72" s="3" t="e">
        <f>VLOOKUP($D72,'Validation des données'!$A$2:$D$55,3,FALSE)</f>
        <v>#N/A</v>
      </c>
      <c r="G72" s="10"/>
      <c r="H72" s="12"/>
      <c r="I72" s="14"/>
      <c r="J72" s="14"/>
    </row>
    <row r="73" spans="1:10" x14ac:dyDescent="0.35">
      <c r="A73" s="5"/>
      <c r="B73" s="6"/>
      <c r="C73" s="3" t="e">
        <f>VLOOKUP($D73,'Validation des données'!$A$1:$D$55,2,FALSE)</f>
        <v>#N/A</v>
      </c>
      <c r="D73" s="9"/>
      <c r="E73" s="3" t="e">
        <f>VLOOKUP($D73,'Validation des données'!$A$2:$D$55,4,FALSE)</f>
        <v>#N/A</v>
      </c>
      <c r="F73" s="3" t="e">
        <f>VLOOKUP($D73,'Validation des données'!$A$2:$D$55,3,FALSE)</f>
        <v>#N/A</v>
      </c>
      <c r="G73" s="10"/>
      <c r="H73" s="12"/>
      <c r="I73" s="14"/>
      <c r="J73" s="14"/>
    </row>
    <row r="74" spans="1:10" x14ac:dyDescent="0.35">
      <c r="A74" s="5"/>
      <c r="B74" s="6"/>
      <c r="C74" s="3" t="e">
        <f>VLOOKUP($D74,'Validation des données'!$A$1:$D$55,2,FALSE)</f>
        <v>#N/A</v>
      </c>
      <c r="D74" s="9"/>
      <c r="E74" s="3" t="e">
        <f>VLOOKUP($D74,'Validation des données'!$A$2:$D$55,4,FALSE)</f>
        <v>#N/A</v>
      </c>
      <c r="F74" s="3" t="e">
        <f>VLOOKUP($D74,'Validation des données'!$A$2:$D$55,3,FALSE)</f>
        <v>#N/A</v>
      </c>
      <c r="G74" s="10"/>
      <c r="H74" s="12"/>
      <c r="I74" s="14"/>
      <c r="J74" s="14"/>
    </row>
    <row r="75" spans="1:10" x14ac:dyDescent="0.35">
      <c r="A75" s="5"/>
      <c r="B75" s="6"/>
      <c r="C75" s="3" t="e">
        <f>VLOOKUP($D75,'Validation des données'!$A$1:$D$55,2,FALSE)</f>
        <v>#N/A</v>
      </c>
      <c r="D75" s="9"/>
      <c r="E75" s="3" t="e">
        <f>VLOOKUP($D75,'Validation des données'!$A$2:$D$55,4,FALSE)</f>
        <v>#N/A</v>
      </c>
      <c r="F75" s="3" t="e">
        <f>VLOOKUP($D75,'Validation des données'!$A$2:$D$55,3,FALSE)</f>
        <v>#N/A</v>
      </c>
      <c r="G75" s="10"/>
      <c r="H75" s="12"/>
      <c r="I75" s="14"/>
      <c r="J75" s="14"/>
    </row>
    <row r="76" spans="1:10" x14ac:dyDescent="0.35">
      <c r="A76" s="5"/>
      <c r="B76" s="6"/>
      <c r="C76" s="3" t="e">
        <f>VLOOKUP($D76,'Validation des données'!$A$1:$D$55,2,FALSE)</f>
        <v>#N/A</v>
      </c>
      <c r="D76" s="9"/>
      <c r="E76" s="3" t="e">
        <f>VLOOKUP($D76,'Validation des données'!$A$2:$D$55,4,FALSE)</f>
        <v>#N/A</v>
      </c>
      <c r="F76" s="3" t="e">
        <f>VLOOKUP($D76,'Validation des données'!$A$2:$D$55,3,FALSE)</f>
        <v>#N/A</v>
      </c>
      <c r="G76" s="10"/>
      <c r="H76" s="12"/>
      <c r="I76" s="14"/>
      <c r="J76" s="14"/>
    </row>
    <row r="77" spans="1:10" x14ac:dyDescent="0.35">
      <c r="A77" s="5"/>
      <c r="B77" s="6"/>
      <c r="C77" s="3" t="e">
        <f>VLOOKUP($D77,'Validation des données'!$A$1:$D$55,2,FALSE)</f>
        <v>#N/A</v>
      </c>
      <c r="D77" s="9"/>
      <c r="E77" s="3" t="e">
        <f>VLOOKUP($D77,'Validation des données'!$A$2:$D$55,4,FALSE)</f>
        <v>#N/A</v>
      </c>
      <c r="F77" s="3" t="e">
        <f>VLOOKUP($D77,'Validation des données'!$A$2:$D$55,3,FALSE)</f>
        <v>#N/A</v>
      </c>
      <c r="G77" s="10"/>
      <c r="H77" s="12"/>
      <c r="I77" s="14"/>
      <c r="J77" s="14"/>
    </row>
    <row r="78" spans="1:10" x14ac:dyDescent="0.35">
      <c r="A78" s="5"/>
      <c r="B78" s="6"/>
      <c r="C78" s="3" t="e">
        <f>VLOOKUP($D78,'Validation des données'!$A$1:$D$55,2,FALSE)</f>
        <v>#N/A</v>
      </c>
      <c r="D78" s="9"/>
      <c r="E78" s="3" t="e">
        <f>VLOOKUP($D78,'Validation des données'!$A$2:$D$55,4,FALSE)</f>
        <v>#N/A</v>
      </c>
      <c r="F78" s="3" t="e">
        <f>VLOOKUP($D78,'Validation des données'!$A$2:$D$55,3,FALSE)</f>
        <v>#N/A</v>
      </c>
      <c r="G78" s="10"/>
      <c r="H78" s="12"/>
      <c r="I78" s="14"/>
      <c r="J78" s="14"/>
    </row>
    <row r="79" spans="1:10" x14ac:dyDescent="0.35">
      <c r="A79" s="5"/>
      <c r="B79" s="6"/>
      <c r="C79" s="3" t="e">
        <f>VLOOKUP($D79,'Validation des données'!$A$1:$D$55,2,FALSE)</f>
        <v>#N/A</v>
      </c>
      <c r="D79" s="9"/>
      <c r="E79" s="3" t="e">
        <f>VLOOKUP($D79,'Validation des données'!$A$2:$D$55,4,FALSE)</f>
        <v>#N/A</v>
      </c>
      <c r="F79" s="3" t="e">
        <f>VLOOKUP($D79,'Validation des données'!$A$2:$D$55,3,FALSE)</f>
        <v>#N/A</v>
      </c>
      <c r="G79" s="10"/>
      <c r="H79" s="12"/>
      <c r="I79" s="14"/>
      <c r="J79" s="14"/>
    </row>
    <row r="80" spans="1:10" x14ac:dyDescent="0.35">
      <c r="A80" s="5"/>
      <c r="B80" s="6"/>
      <c r="C80" s="3" t="e">
        <f>VLOOKUP($D80,'Validation des données'!$A$1:$D$55,2,FALSE)</f>
        <v>#N/A</v>
      </c>
      <c r="D80" s="9"/>
      <c r="E80" s="3" t="e">
        <f>VLOOKUP($D80,'Validation des données'!$A$2:$D$55,4,FALSE)</f>
        <v>#N/A</v>
      </c>
      <c r="F80" s="3" t="e">
        <f>VLOOKUP($D80,'Validation des données'!$A$2:$D$55,3,FALSE)</f>
        <v>#N/A</v>
      </c>
      <c r="G80" s="10"/>
      <c r="H80" s="12"/>
      <c r="I80" s="14"/>
      <c r="J80" s="14"/>
    </row>
    <row r="81" spans="1:10" x14ac:dyDescent="0.35">
      <c r="A81" s="5"/>
      <c r="B81" s="6"/>
      <c r="C81" s="3" t="e">
        <f>VLOOKUP($D81,'Validation des données'!$A$1:$D$55,2,FALSE)</f>
        <v>#N/A</v>
      </c>
      <c r="D81" s="9"/>
      <c r="E81" s="3" t="e">
        <f>VLOOKUP($D81,'Validation des données'!$A$2:$D$55,4,FALSE)</f>
        <v>#N/A</v>
      </c>
      <c r="F81" s="3" t="e">
        <f>VLOOKUP($D81,'Validation des données'!$A$2:$D$55,3,FALSE)</f>
        <v>#N/A</v>
      </c>
      <c r="G81" s="10"/>
      <c r="H81" s="12"/>
      <c r="I81" s="14"/>
      <c r="J81" s="14"/>
    </row>
    <row r="82" spans="1:10" x14ac:dyDescent="0.35">
      <c r="A82" s="5"/>
      <c r="B82" s="6"/>
      <c r="C82" s="3" t="e">
        <f>VLOOKUP($D82,'Validation des données'!$A$1:$D$55,2,FALSE)</f>
        <v>#N/A</v>
      </c>
      <c r="D82" s="9"/>
      <c r="E82" s="3" t="e">
        <f>VLOOKUP($D82,'Validation des données'!$A$2:$D$55,4,FALSE)</f>
        <v>#N/A</v>
      </c>
      <c r="F82" s="3" t="e">
        <f>VLOOKUP($D82,'Validation des données'!$A$2:$D$55,3,FALSE)</f>
        <v>#N/A</v>
      </c>
      <c r="G82" s="10"/>
      <c r="H82" s="12"/>
      <c r="I82" s="14"/>
      <c r="J82" s="14"/>
    </row>
    <row r="83" spans="1:10" x14ac:dyDescent="0.35">
      <c r="A83" s="5"/>
      <c r="B83" s="6"/>
      <c r="C83" s="3" t="e">
        <f>VLOOKUP($D83,'Validation des données'!$A$1:$D$55,2,FALSE)</f>
        <v>#N/A</v>
      </c>
      <c r="D83" s="9"/>
      <c r="E83" s="3" t="e">
        <f>VLOOKUP($D83,'Validation des données'!$A$2:$D$55,4,FALSE)</f>
        <v>#N/A</v>
      </c>
      <c r="F83" s="3" t="e">
        <f>VLOOKUP($D83,'Validation des données'!$A$2:$D$55,3,FALSE)</f>
        <v>#N/A</v>
      </c>
      <c r="G83" s="10"/>
      <c r="H83" s="12"/>
      <c r="I83" s="14"/>
      <c r="J83" s="14"/>
    </row>
    <row r="84" spans="1:10" x14ac:dyDescent="0.35">
      <c r="A84" s="5"/>
      <c r="B84" s="6"/>
      <c r="C84" s="3" t="e">
        <f>VLOOKUP($D84,'Validation des données'!$A$1:$D$55,2,FALSE)</f>
        <v>#N/A</v>
      </c>
      <c r="D84" s="9"/>
      <c r="E84" s="3" t="e">
        <f>VLOOKUP($D84,'Validation des données'!$A$2:$D$55,4,FALSE)</f>
        <v>#N/A</v>
      </c>
      <c r="F84" s="3" t="e">
        <f>VLOOKUP($D84,'Validation des données'!$A$2:$D$55,3,FALSE)</f>
        <v>#N/A</v>
      </c>
      <c r="G84" s="10"/>
      <c r="H84" s="12"/>
      <c r="I84" s="14"/>
      <c r="J84" s="14"/>
    </row>
    <row r="85" spans="1:10" x14ac:dyDescent="0.35">
      <c r="A85" s="5"/>
      <c r="B85" s="6"/>
      <c r="C85" s="3" t="e">
        <f>VLOOKUP($D85,'Validation des données'!$A$1:$D$55,2,FALSE)</f>
        <v>#N/A</v>
      </c>
      <c r="D85" s="9"/>
      <c r="E85" s="3" t="e">
        <f>VLOOKUP($D85,'Validation des données'!$A$2:$D$55,4,FALSE)</f>
        <v>#N/A</v>
      </c>
      <c r="F85" s="3" t="e">
        <f>VLOOKUP($D85,'Validation des données'!$A$2:$D$55,3,FALSE)</f>
        <v>#N/A</v>
      </c>
      <c r="G85" s="10"/>
      <c r="H85" s="12"/>
      <c r="I85" s="14"/>
      <c r="J85" s="14"/>
    </row>
    <row r="86" spans="1:10" x14ac:dyDescent="0.35">
      <c r="A86" s="5"/>
      <c r="B86" s="6"/>
      <c r="C86" s="3" t="e">
        <f>VLOOKUP($D86,'Validation des données'!$A$1:$D$55,2,FALSE)</f>
        <v>#N/A</v>
      </c>
      <c r="D86" s="9"/>
      <c r="E86" s="3" t="e">
        <f>VLOOKUP($D86,'Validation des données'!$A$2:$D$55,4,FALSE)</f>
        <v>#N/A</v>
      </c>
      <c r="F86" s="3" t="e">
        <f>VLOOKUP($D86,'Validation des données'!$A$2:$D$55,3,FALSE)</f>
        <v>#N/A</v>
      </c>
      <c r="G86" s="10"/>
      <c r="H86" s="12"/>
      <c r="I86" s="14"/>
      <c r="J86" s="14"/>
    </row>
    <row r="87" spans="1:10" x14ac:dyDescent="0.35">
      <c r="A87" s="5"/>
      <c r="B87" s="6"/>
      <c r="C87" s="3" t="e">
        <f>VLOOKUP($D87,'Validation des données'!$A$1:$D$55,2,FALSE)</f>
        <v>#N/A</v>
      </c>
      <c r="D87" s="9"/>
      <c r="E87" s="3" t="e">
        <f>VLOOKUP($D87,'Validation des données'!$A$2:$D$55,4,FALSE)</f>
        <v>#N/A</v>
      </c>
      <c r="F87" s="3" t="e">
        <f>VLOOKUP($D87,'Validation des données'!$A$2:$D$55,3,FALSE)</f>
        <v>#N/A</v>
      </c>
      <c r="G87" s="10"/>
      <c r="H87" s="12"/>
      <c r="I87" s="14"/>
      <c r="J87" s="14"/>
    </row>
    <row r="88" spans="1:10" x14ac:dyDescent="0.35">
      <c r="A88" s="5"/>
      <c r="B88" s="6"/>
      <c r="C88" s="3" t="e">
        <f>VLOOKUP($D88,'Validation des données'!$A$1:$D$55,2,FALSE)</f>
        <v>#N/A</v>
      </c>
      <c r="D88" s="9"/>
      <c r="E88" s="3" t="e">
        <f>VLOOKUP($D88,'Validation des données'!$A$2:$D$55,4,FALSE)</f>
        <v>#N/A</v>
      </c>
      <c r="F88" s="3" t="e">
        <f>VLOOKUP($D88,'Validation des données'!$A$2:$D$55,3,FALSE)</f>
        <v>#N/A</v>
      </c>
      <c r="G88" s="10"/>
      <c r="H88" s="12"/>
      <c r="I88" s="14"/>
      <c r="J88" s="14"/>
    </row>
    <row r="89" spans="1:10" x14ac:dyDescent="0.35">
      <c r="A89" s="5"/>
      <c r="B89" s="6"/>
      <c r="C89" s="3" t="e">
        <f>VLOOKUP($D89,'Validation des données'!$A$1:$D$55,2,FALSE)</f>
        <v>#N/A</v>
      </c>
      <c r="D89" s="9"/>
      <c r="E89" s="3" t="e">
        <f>VLOOKUP($D89,'Validation des données'!$A$2:$D$55,4,FALSE)</f>
        <v>#N/A</v>
      </c>
      <c r="F89" s="3" t="e">
        <f>VLOOKUP($D89,'Validation des données'!$A$2:$D$55,3,FALSE)</f>
        <v>#N/A</v>
      </c>
      <c r="G89" s="10"/>
      <c r="H89" s="12"/>
      <c r="I89" s="14"/>
      <c r="J89" s="14"/>
    </row>
    <row r="90" spans="1:10" x14ac:dyDescent="0.35">
      <c r="A90" s="5"/>
      <c r="B90" s="6"/>
      <c r="C90" s="3" t="e">
        <f>VLOOKUP($D90,'Validation des données'!$A$1:$D$55,2,FALSE)</f>
        <v>#N/A</v>
      </c>
      <c r="D90" s="9"/>
      <c r="E90" s="3" t="e">
        <f>VLOOKUP($D90,'Validation des données'!$A$2:$D$55,4,FALSE)</f>
        <v>#N/A</v>
      </c>
      <c r="F90" s="3" t="e">
        <f>VLOOKUP($D90,'Validation des données'!$A$2:$D$55,3,FALSE)</f>
        <v>#N/A</v>
      </c>
      <c r="G90" s="10"/>
      <c r="H90" s="12"/>
      <c r="I90" s="14"/>
      <c r="J90" s="14"/>
    </row>
    <row r="91" spans="1:10" x14ac:dyDescent="0.35">
      <c r="A91" s="5"/>
      <c r="B91" s="6"/>
      <c r="C91" s="3" t="e">
        <f>VLOOKUP($D91,'Validation des données'!$A$1:$D$55,2,FALSE)</f>
        <v>#N/A</v>
      </c>
      <c r="D91" s="9"/>
      <c r="E91" s="3" t="e">
        <f>VLOOKUP($D91,'Validation des données'!$A$2:$D$55,4,FALSE)</f>
        <v>#N/A</v>
      </c>
      <c r="F91" s="3" t="e">
        <f>VLOOKUP($D91,'Validation des données'!$A$2:$D$55,3,FALSE)</f>
        <v>#N/A</v>
      </c>
      <c r="G91" s="10"/>
      <c r="H91" s="12"/>
      <c r="I91" s="14"/>
      <c r="J91" s="14"/>
    </row>
    <row r="92" spans="1:10" x14ac:dyDescent="0.35">
      <c r="A92" s="5"/>
      <c r="B92" s="6"/>
      <c r="C92" s="3" t="e">
        <f>VLOOKUP($D92,'Validation des données'!$A$1:$D$55,2,FALSE)</f>
        <v>#N/A</v>
      </c>
      <c r="D92" s="9"/>
      <c r="E92" s="3" t="e">
        <f>VLOOKUP($D92,'Validation des données'!$A$2:$D$55,4,FALSE)</f>
        <v>#N/A</v>
      </c>
      <c r="F92" s="3" t="e">
        <f>VLOOKUP($D92,'Validation des données'!$A$2:$D$55,3,FALSE)</f>
        <v>#N/A</v>
      </c>
      <c r="G92" s="10"/>
      <c r="H92" s="12"/>
      <c r="I92" s="14"/>
      <c r="J92" s="14"/>
    </row>
    <row r="93" spans="1:10" x14ac:dyDescent="0.35">
      <c r="A93" s="5"/>
      <c r="B93" s="6"/>
      <c r="C93" s="3" t="e">
        <f>VLOOKUP($D93,'Validation des données'!$A$1:$D$55,2,FALSE)</f>
        <v>#N/A</v>
      </c>
      <c r="D93" s="9"/>
      <c r="E93" s="3" t="e">
        <f>VLOOKUP($D93,'Validation des données'!$A$2:$D$55,4,FALSE)</f>
        <v>#N/A</v>
      </c>
      <c r="F93" s="3" t="e">
        <f>VLOOKUP($D93,'Validation des données'!$A$2:$D$55,3,FALSE)</f>
        <v>#N/A</v>
      </c>
      <c r="G93" s="10"/>
      <c r="H93" s="12"/>
      <c r="I93" s="14"/>
      <c r="J93" s="14"/>
    </row>
    <row r="94" spans="1:10" x14ac:dyDescent="0.35">
      <c r="A94" s="5"/>
      <c r="B94" s="6"/>
      <c r="C94" s="3" t="e">
        <f>VLOOKUP($D94,'Validation des données'!$A$1:$D$55,2,FALSE)</f>
        <v>#N/A</v>
      </c>
      <c r="D94" s="9"/>
      <c r="E94" s="3" t="e">
        <f>VLOOKUP($D94,'Validation des données'!$A$2:$D$55,4,FALSE)</f>
        <v>#N/A</v>
      </c>
      <c r="F94" s="3" t="e">
        <f>VLOOKUP($D94,'Validation des données'!$A$2:$D$55,3,FALSE)</f>
        <v>#N/A</v>
      </c>
      <c r="G94" s="10"/>
      <c r="H94" s="12"/>
      <c r="I94" s="14"/>
      <c r="J94" s="14"/>
    </row>
    <row r="95" spans="1:10" x14ac:dyDescent="0.35">
      <c r="A95" s="5"/>
      <c r="B95" s="6"/>
      <c r="C95" s="3" t="e">
        <f>VLOOKUP($D95,'Validation des données'!$A$1:$D$55,2,FALSE)</f>
        <v>#N/A</v>
      </c>
      <c r="D95" s="9"/>
      <c r="E95" s="3" t="e">
        <f>VLOOKUP($D95,'Validation des données'!$A$2:$D$55,4,FALSE)</f>
        <v>#N/A</v>
      </c>
      <c r="F95" s="3" t="e">
        <f>VLOOKUP($D95,'Validation des données'!$A$2:$D$55,3,FALSE)</f>
        <v>#N/A</v>
      </c>
      <c r="G95" s="10"/>
      <c r="H95" s="12"/>
      <c r="I95" s="14"/>
      <c r="J95" s="14"/>
    </row>
    <row r="96" spans="1:10" x14ac:dyDescent="0.35">
      <c r="A96" s="5"/>
      <c r="B96" s="6"/>
      <c r="C96" s="3" t="e">
        <f>VLOOKUP($D96,'Validation des données'!$A$1:$D$55,2,FALSE)</f>
        <v>#N/A</v>
      </c>
      <c r="D96" s="9"/>
      <c r="E96" s="3" t="e">
        <f>VLOOKUP($D96,'Validation des données'!$A$2:$D$55,4,FALSE)</f>
        <v>#N/A</v>
      </c>
      <c r="F96" s="3" t="e">
        <f>VLOOKUP($D96,'Validation des données'!$A$2:$D$55,3,FALSE)</f>
        <v>#N/A</v>
      </c>
      <c r="G96" s="10"/>
      <c r="H96" s="12"/>
      <c r="I96" s="14"/>
      <c r="J96" s="14"/>
    </row>
    <row r="97" spans="1:10" x14ac:dyDescent="0.35">
      <c r="A97" s="5"/>
      <c r="B97" s="6"/>
      <c r="C97" s="3" t="e">
        <f>VLOOKUP($D97,'Validation des données'!$A$1:$D$55,2,FALSE)</f>
        <v>#N/A</v>
      </c>
      <c r="D97" s="9"/>
      <c r="E97" s="3" t="e">
        <f>VLOOKUP($D97,'Validation des données'!$A$2:$D$55,4,FALSE)</f>
        <v>#N/A</v>
      </c>
      <c r="F97" s="3" t="e">
        <f>VLOOKUP($D97,'Validation des données'!$A$2:$D$55,3,FALSE)</f>
        <v>#N/A</v>
      </c>
      <c r="G97" s="10"/>
      <c r="H97" s="12"/>
      <c r="I97" s="14"/>
      <c r="J97" s="14"/>
    </row>
    <row r="98" spans="1:10" x14ac:dyDescent="0.35">
      <c r="A98" s="5"/>
      <c r="B98" s="6"/>
      <c r="C98" s="3" t="e">
        <f>VLOOKUP($D98,'Validation des données'!$A$1:$D$55,2,FALSE)</f>
        <v>#N/A</v>
      </c>
      <c r="D98" s="9"/>
      <c r="E98" s="3" t="e">
        <f>VLOOKUP($D98,'Validation des données'!$A$2:$D$55,4,FALSE)</f>
        <v>#N/A</v>
      </c>
      <c r="F98" s="3" t="e">
        <f>VLOOKUP($D98,'Validation des données'!$A$2:$D$55,3,FALSE)</f>
        <v>#N/A</v>
      </c>
      <c r="G98" s="10"/>
      <c r="H98" s="12"/>
      <c r="I98" s="14"/>
      <c r="J98" s="14"/>
    </row>
    <row r="99" spans="1:10" x14ac:dyDescent="0.35">
      <c r="A99" s="5"/>
      <c r="B99" s="6"/>
      <c r="C99" s="3" t="e">
        <f>VLOOKUP($D99,'Validation des données'!$A$1:$D$55,2,FALSE)</f>
        <v>#N/A</v>
      </c>
      <c r="D99" s="9"/>
      <c r="E99" s="3" t="e">
        <f>VLOOKUP($D99,'Validation des données'!$A$2:$D$55,4,FALSE)</f>
        <v>#N/A</v>
      </c>
      <c r="F99" s="3" t="e">
        <f>VLOOKUP($D99,'Validation des données'!$A$2:$D$55,3,FALSE)</f>
        <v>#N/A</v>
      </c>
      <c r="G99" s="10"/>
      <c r="H99" s="12"/>
      <c r="I99" s="14"/>
      <c r="J99" s="14"/>
    </row>
    <row r="100" spans="1:10" x14ac:dyDescent="0.35">
      <c r="A100" s="5"/>
      <c r="B100" s="6"/>
      <c r="C100" s="3" t="e">
        <f>VLOOKUP($D100,'Validation des données'!$A$1:$D$55,2,FALSE)</f>
        <v>#N/A</v>
      </c>
      <c r="D100" s="9"/>
      <c r="E100" s="3" t="e">
        <f>VLOOKUP($D100,'Validation des données'!$A$2:$D$55,4,FALSE)</f>
        <v>#N/A</v>
      </c>
      <c r="F100" s="3" t="e">
        <f>VLOOKUP($D100,'Validation des données'!$A$2:$D$55,3,FALSE)</f>
        <v>#N/A</v>
      </c>
      <c r="G100" s="10"/>
      <c r="H100" s="12"/>
      <c r="I100" s="14"/>
      <c r="J100" s="14"/>
    </row>
    <row r="101" spans="1:10" x14ac:dyDescent="0.35">
      <c r="A101" s="5"/>
      <c r="B101" s="6"/>
      <c r="C101" s="3" t="e">
        <f>VLOOKUP($D101,'Validation des données'!$A$1:$D$55,2,FALSE)</f>
        <v>#N/A</v>
      </c>
      <c r="D101" s="9"/>
      <c r="E101" s="3" t="e">
        <f>VLOOKUP($D101,'Validation des données'!$A$2:$D$55,4,FALSE)</f>
        <v>#N/A</v>
      </c>
      <c r="F101" s="3" t="e">
        <f>VLOOKUP($D101,'Validation des données'!$A$2:$D$55,3,FALSE)</f>
        <v>#N/A</v>
      </c>
      <c r="G101" s="10"/>
      <c r="H101" s="12"/>
      <c r="I101" s="14"/>
      <c r="J101" s="14"/>
    </row>
    <row r="102" spans="1:10" x14ac:dyDescent="0.35">
      <c r="A102" s="5"/>
      <c r="B102" s="6"/>
      <c r="C102" s="3" t="e">
        <f>VLOOKUP($D102,'Validation des données'!$A$1:$D$55,2,FALSE)</f>
        <v>#N/A</v>
      </c>
      <c r="D102" s="9"/>
      <c r="E102" s="3" t="e">
        <f>VLOOKUP($D102,'Validation des données'!$A$2:$D$55,4,FALSE)</f>
        <v>#N/A</v>
      </c>
      <c r="F102" s="3" t="e">
        <f>VLOOKUP($D102,'Validation des données'!$A$2:$D$55,3,FALSE)</f>
        <v>#N/A</v>
      </c>
      <c r="G102" s="10"/>
      <c r="H102" s="12"/>
      <c r="I102" s="14"/>
      <c r="J102" s="14"/>
    </row>
    <row r="103" spans="1:10" x14ac:dyDescent="0.35">
      <c r="A103" s="5"/>
      <c r="B103" s="6"/>
      <c r="C103" s="3" t="e">
        <f>VLOOKUP($D103,'Validation des données'!$A$1:$D$55,2,FALSE)</f>
        <v>#N/A</v>
      </c>
      <c r="D103" s="9"/>
      <c r="E103" s="3" t="e">
        <f>VLOOKUP($D103,'Validation des données'!$A$2:$D$55,4,FALSE)</f>
        <v>#N/A</v>
      </c>
      <c r="F103" s="3" t="e">
        <f>VLOOKUP($D103,'Validation des données'!$A$2:$D$55,3,FALSE)</f>
        <v>#N/A</v>
      </c>
      <c r="G103" s="10"/>
      <c r="H103" s="12"/>
      <c r="I103" s="14"/>
      <c r="J103" s="14"/>
    </row>
    <row r="104" spans="1:10" x14ac:dyDescent="0.35">
      <c r="A104" s="5"/>
      <c r="B104" s="6"/>
      <c r="C104" s="3" t="e">
        <f>VLOOKUP($D104,'Validation des données'!$A$1:$D$55,2,FALSE)</f>
        <v>#N/A</v>
      </c>
      <c r="D104" s="9"/>
      <c r="E104" s="3" t="e">
        <f>VLOOKUP($D104,'Validation des données'!$A$2:$D$55,4,FALSE)</f>
        <v>#N/A</v>
      </c>
      <c r="F104" s="3" t="e">
        <f>VLOOKUP($D104,'Validation des données'!$A$2:$D$55,3,FALSE)</f>
        <v>#N/A</v>
      </c>
      <c r="G104" s="10"/>
      <c r="H104" s="12"/>
      <c r="I104" s="14"/>
      <c r="J104" s="14"/>
    </row>
    <row r="105" spans="1:10" x14ac:dyDescent="0.35">
      <c r="A105" s="5"/>
      <c r="B105" s="6"/>
      <c r="C105" s="3" t="e">
        <f>VLOOKUP($D105,'Validation des données'!$A$1:$D$55,2,FALSE)</f>
        <v>#N/A</v>
      </c>
      <c r="D105" s="9"/>
      <c r="E105" s="3" t="e">
        <f>VLOOKUP($D105,'Validation des données'!$A$2:$D$55,4,FALSE)</f>
        <v>#N/A</v>
      </c>
      <c r="F105" s="3" t="e">
        <f>VLOOKUP($D105,'Validation des données'!$A$2:$D$55,3,FALSE)</f>
        <v>#N/A</v>
      </c>
      <c r="G105" s="10"/>
      <c r="H105" s="12"/>
      <c r="I105" s="14"/>
      <c r="J105" s="14"/>
    </row>
    <row r="106" spans="1:10" x14ac:dyDescent="0.35">
      <c r="A106" s="5"/>
      <c r="B106" s="6"/>
      <c r="C106" s="3" t="e">
        <f>VLOOKUP($D106,'Validation des données'!$A$1:$D$55,2,FALSE)</f>
        <v>#N/A</v>
      </c>
      <c r="D106" s="9"/>
      <c r="E106" s="3" t="e">
        <f>VLOOKUP($D106,'Validation des données'!$A$2:$D$55,4,FALSE)</f>
        <v>#N/A</v>
      </c>
      <c r="F106" s="3" t="e">
        <f>VLOOKUP($D106,'Validation des données'!$A$2:$D$55,3,FALSE)</f>
        <v>#N/A</v>
      </c>
      <c r="G106" s="10"/>
      <c r="H106" s="12"/>
      <c r="I106" s="14"/>
      <c r="J106" s="14"/>
    </row>
    <row r="107" spans="1:10" x14ac:dyDescent="0.35">
      <c r="A107" s="5"/>
      <c r="B107" s="6"/>
      <c r="C107" s="3" t="e">
        <f>VLOOKUP($D107,'Validation des données'!$A$1:$D$55,2,FALSE)</f>
        <v>#N/A</v>
      </c>
      <c r="D107" s="9"/>
      <c r="E107" s="3" t="e">
        <f>VLOOKUP($D107,'Validation des données'!$A$2:$D$55,4,FALSE)</f>
        <v>#N/A</v>
      </c>
      <c r="F107" s="3" t="e">
        <f>VLOOKUP($D107,'Validation des données'!$A$2:$D$55,3,FALSE)</f>
        <v>#N/A</v>
      </c>
      <c r="G107" s="10"/>
      <c r="H107" s="12"/>
      <c r="I107" s="14"/>
      <c r="J107" s="14"/>
    </row>
    <row r="108" spans="1:10" x14ac:dyDescent="0.35">
      <c r="A108" s="5"/>
      <c r="B108" s="6"/>
      <c r="C108" s="3" t="e">
        <f>VLOOKUP($D108,'Validation des données'!$A$1:$D$55,2,FALSE)</f>
        <v>#N/A</v>
      </c>
      <c r="D108" s="9"/>
      <c r="E108" s="3" t="e">
        <f>VLOOKUP($D108,'Validation des données'!$A$2:$D$55,4,FALSE)</f>
        <v>#N/A</v>
      </c>
      <c r="F108" s="3" t="e">
        <f>VLOOKUP($D108,'Validation des données'!$A$2:$D$55,3,FALSE)</f>
        <v>#N/A</v>
      </c>
      <c r="G108" s="10"/>
      <c r="H108" s="12"/>
      <c r="I108" s="14"/>
      <c r="J108" s="14"/>
    </row>
    <row r="109" spans="1:10" x14ac:dyDescent="0.35">
      <c r="A109" s="5"/>
      <c r="B109" s="6"/>
      <c r="C109" s="3" t="e">
        <f>VLOOKUP($D109,'Validation des données'!$A$1:$D$55,2,FALSE)</f>
        <v>#N/A</v>
      </c>
      <c r="D109" s="9"/>
      <c r="E109" s="3" t="e">
        <f>VLOOKUP($D109,'Validation des données'!$A$2:$D$55,4,FALSE)</f>
        <v>#N/A</v>
      </c>
      <c r="F109" s="3" t="e">
        <f>VLOOKUP($D109,'Validation des données'!$A$2:$D$55,3,FALSE)</f>
        <v>#N/A</v>
      </c>
      <c r="G109" s="10"/>
      <c r="H109" s="12"/>
      <c r="I109" s="14"/>
      <c r="J109" s="14"/>
    </row>
    <row r="110" spans="1:10" x14ac:dyDescent="0.35">
      <c r="A110" s="5"/>
      <c r="B110" s="6"/>
      <c r="C110" s="3" t="e">
        <f>VLOOKUP($D110,'Validation des données'!$A$1:$D$55,2,FALSE)</f>
        <v>#N/A</v>
      </c>
      <c r="D110" s="9"/>
      <c r="E110" s="3" t="e">
        <f>VLOOKUP($D110,'Validation des données'!$A$2:$D$55,4,FALSE)</f>
        <v>#N/A</v>
      </c>
      <c r="F110" s="3" t="e">
        <f>VLOOKUP($D110,'Validation des données'!$A$2:$D$55,3,FALSE)</f>
        <v>#N/A</v>
      </c>
      <c r="G110" s="10"/>
      <c r="H110" s="12"/>
      <c r="I110" s="14"/>
      <c r="J110" s="14"/>
    </row>
    <row r="111" spans="1:10" x14ac:dyDescent="0.35">
      <c r="A111" s="5"/>
      <c r="B111" s="6"/>
      <c r="C111" s="3" t="e">
        <f>VLOOKUP($D111,'Validation des données'!$A$1:$D$55,2,FALSE)</f>
        <v>#N/A</v>
      </c>
      <c r="D111" s="9"/>
      <c r="E111" s="3" t="e">
        <f>VLOOKUP($D111,'Validation des données'!$A$2:$D$55,4,FALSE)</f>
        <v>#N/A</v>
      </c>
      <c r="F111" s="3" t="e">
        <f>VLOOKUP($D111,'Validation des données'!$A$2:$D$55,3,FALSE)</f>
        <v>#N/A</v>
      </c>
      <c r="G111" s="10"/>
      <c r="H111" s="12"/>
      <c r="I111" s="14"/>
      <c r="J111" s="14"/>
    </row>
    <row r="112" spans="1:10" x14ac:dyDescent="0.35">
      <c r="A112" s="5"/>
      <c r="B112" s="6"/>
      <c r="C112" s="3" t="e">
        <f>VLOOKUP($D112,'Validation des données'!$A$1:$D$55,2,FALSE)</f>
        <v>#N/A</v>
      </c>
      <c r="D112" s="9"/>
      <c r="E112" s="3" t="e">
        <f>VLOOKUP($D112,'Validation des données'!$A$2:$D$55,4,FALSE)</f>
        <v>#N/A</v>
      </c>
      <c r="F112" s="3" t="e">
        <f>VLOOKUP($D112,'Validation des données'!$A$2:$D$55,3,FALSE)</f>
        <v>#N/A</v>
      </c>
      <c r="G112" s="10"/>
      <c r="H112" s="12"/>
      <c r="I112" s="14"/>
      <c r="J112" s="14"/>
    </row>
    <row r="113" spans="1:10" x14ac:dyDescent="0.35">
      <c r="A113" s="5"/>
      <c r="B113" s="6"/>
      <c r="C113" s="3" t="e">
        <f>VLOOKUP($D113,'Validation des données'!$A$1:$D$55,2,FALSE)</f>
        <v>#N/A</v>
      </c>
      <c r="D113" s="9"/>
      <c r="E113" s="3" t="e">
        <f>VLOOKUP($D113,'Validation des données'!$A$2:$D$55,4,FALSE)</f>
        <v>#N/A</v>
      </c>
      <c r="F113" s="3" t="e">
        <f>VLOOKUP($D113,'Validation des données'!$A$2:$D$55,3,FALSE)</f>
        <v>#N/A</v>
      </c>
      <c r="G113" s="10"/>
      <c r="H113" s="12"/>
      <c r="I113" s="14"/>
      <c r="J113" s="14"/>
    </row>
    <row r="114" spans="1:10" x14ac:dyDescent="0.35">
      <c r="A114" s="5"/>
      <c r="B114" s="6"/>
      <c r="C114" s="3" t="e">
        <f>VLOOKUP($D114,'Validation des données'!$A$1:$D$55,2,FALSE)</f>
        <v>#N/A</v>
      </c>
      <c r="D114" s="9"/>
      <c r="E114" s="3" t="e">
        <f>VLOOKUP($D114,'Validation des données'!$A$2:$D$55,4,FALSE)</f>
        <v>#N/A</v>
      </c>
      <c r="F114" s="3" t="e">
        <f>VLOOKUP($D114,'Validation des données'!$A$2:$D$55,3,FALSE)</f>
        <v>#N/A</v>
      </c>
      <c r="G114" s="10"/>
      <c r="H114" s="12"/>
      <c r="I114" s="14"/>
      <c r="J114" s="14"/>
    </row>
    <row r="115" spans="1:10" x14ac:dyDescent="0.35">
      <c r="A115" s="5"/>
      <c r="B115" s="6"/>
      <c r="C115" s="3" t="e">
        <f>VLOOKUP($D115,'Validation des données'!$A$1:$D$55,2,FALSE)</f>
        <v>#N/A</v>
      </c>
      <c r="D115" s="9"/>
      <c r="E115" s="3" t="e">
        <f>VLOOKUP($D115,'Validation des données'!$A$2:$D$55,4,FALSE)</f>
        <v>#N/A</v>
      </c>
      <c r="F115" s="3" t="e">
        <f>VLOOKUP($D115,'Validation des données'!$A$2:$D$55,3,FALSE)</f>
        <v>#N/A</v>
      </c>
      <c r="G115" s="10"/>
      <c r="H115" s="12"/>
      <c r="I115" s="14"/>
      <c r="J115" s="14"/>
    </row>
  </sheetData>
  <sheetProtection selectLockedCells="1"/>
  <phoneticPr fontId="3" type="noConversion"/>
  <pageMargins left="0.7" right="0.7" top="0.75" bottom="0.75" header="0.3" footer="0.3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4A08933-B24E-4A7F-A60A-B84DEA190112}">
          <x14:formula1>
            <xm:f>'Validation des données'!$A$2:$A$55</xm:f>
          </x14:formula1>
          <xm:sqref>D2:D115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CD7897-3571-4F60-9299-A4CE558A93C4}">
  <dimension ref="A1:E65"/>
  <sheetViews>
    <sheetView topLeftCell="A21" workbookViewId="0">
      <selection activeCell="E2" sqref="E2"/>
    </sheetView>
  </sheetViews>
  <sheetFormatPr baseColWidth="10" defaultRowHeight="15.5" x14ac:dyDescent="0.35"/>
  <cols>
    <col min="1" max="1" width="107.6640625" customWidth="1"/>
    <col min="2" max="2" width="21.83203125" customWidth="1"/>
    <col min="3" max="3" width="14.33203125" customWidth="1"/>
    <col min="4" max="4" width="24.5" customWidth="1"/>
  </cols>
  <sheetData>
    <row r="1" spans="1:5" ht="31.5" thickBot="1" x14ac:dyDescent="0.4">
      <c r="A1" s="2" t="s">
        <v>8</v>
      </c>
      <c r="B1" s="2" t="s">
        <v>7</v>
      </c>
      <c r="C1" s="2" t="s">
        <v>10</v>
      </c>
      <c r="D1" s="2" t="s">
        <v>9</v>
      </c>
      <c r="E1" s="2" t="s">
        <v>149</v>
      </c>
    </row>
    <row r="2" spans="1:5" ht="16" thickBot="1" x14ac:dyDescent="0.4">
      <c r="A2" s="16" t="s">
        <v>13</v>
      </c>
      <c r="B2" s="16" t="s">
        <v>12</v>
      </c>
      <c r="C2" s="17" t="s">
        <v>15</v>
      </c>
      <c r="D2" s="16" t="s">
        <v>14</v>
      </c>
      <c r="E2" s="15" t="s">
        <v>11</v>
      </c>
    </row>
    <row r="3" spans="1:5" ht="16" thickBot="1" x14ac:dyDescent="0.4">
      <c r="A3" s="16" t="s">
        <v>17</v>
      </c>
      <c r="B3" s="16" t="s">
        <v>12</v>
      </c>
      <c r="C3" s="17" t="s">
        <v>15</v>
      </c>
      <c r="D3" s="16" t="s">
        <v>14</v>
      </c>
      <c r="E3" s="15" t="s">
        <v>16</v>
      </c>
    </row>
    <row r="4" spans="1:5" ht="16" thickBot="1" x14ac:dyDescent="0.4">
      <c r="A4" s="16" t="s">
        <v>19</v>
      </c>
      <c r="B4" s="16" t="s">
        <v>12</v>
      </c>
      <c r="C4" s="17" t="s">
        <v>15</v>
      </c>
      <c r="D4" s="16" t="s">
        <v>14</v>
      </c>
      <c r="E4" s="15" t="s">
        <v>18</v>
      </c>
    </row>
    <row r="5" spans="1:5" ht="16" thickBot="1" x14ac:dyDescent="0.4">
      <c r="A5" s="16" t="s">
        <v>21</v>
      </c>
      <c r="B5" s="16" t="s">
        <v>12</v>
      </c>
      <c r="C5" s="17" t="s">
        <v>15</v>
      </c>
      <c r="D5" s="16" t="s">
        <v>14</v>
      </c>
      <c r="E5" s="15" t="s">
        <v>20</v>
      </c>
    </row>
    <row r="6" spans="1:5" ht="16" thickBot="1" x14ac:dyDescent="0.4">
      <c r="A6" s="16" t="s">
        <v>23</v>
      </c>
      <c r="B6" s="16" t="s">
        <v>12</v>
      </c>
      <c r="C6" s="17" t="s">
        <v>15</v>
      </c>
      <c r="D6" s="16" t="s">
        <v>24</v>
      </c>
      <c r="E6" s="15" t="s">
        <v>22</v>
      </c>
    </row>
    <row r="7" spans="1:5" ht="16" thickBot="1" x14ac:dyDescent="0.4">
      <c r="A7" s="16" t="s">
        <v>26</v>
      </c>
      <c r="B7" s="16" t="s">
        <v>12</v>
      </c>
      <c r="C7" s="17" t="s">
        <v>15</v>
      </c>
      <c r="D7" s="16" t="s">
        <v>27</v>
      </c>
      <c r="E7" s="15" t="s">
        <v>25</v>
      </c>
    </row>
    <row r="8" spans="1:5" ht="16" thickBot="1" x14ac:dyDescent="0.4">
      <c r="A8" s="16" t="s">
        <v>29</v>
      </c>
      <c r="B8" s="16" t="s">
        <v>12</v>
      </c>
      <c r="C8" s="17" t="s">
        <v>15</v>
      </c>
      <c r="D8" s="16" t="s">
        <v>30</v>
      </c>
      <c r="E8" s="15" t="s">
        <v>28</v>
      </c>
    </row>
    <row r="9" spans="1:5" ht="16" thickBot="1" x14ac:dyDescent="0.4">
      <c r="A9" s="16" t="s">
        <v>32</v>
      </c>
      <c r="B9" s="16" t="s">
        <v>12</v>
      </c>
      <c r="C9" s="17" t="s">
        <v>34</v>
      </c>
      <c r="D9" s="16" t="s">
        <v>33</v>
      </c>
      <c r="E9" s="15" t="s">
        <v>31</v>
      </c>
    </row>
    <row r="10" spans="1:5" ht="16" thickBot="1" x14ac:dyDescent="0.4">
      <c r="A10" s="16" t="s">
        <v>37</v>
      </c>
      <c r="B10" s="16" t="s">
        <v>36</v>
      </c>
      <c r="C10" s="17" t="s">
        <v>15</v>
      </c>
      <c r="D10" s="16" t="s">
        <v>38</v>
      </c>
      <c r="E10" s="15" t="s">
        <v>35</v>
      </c>
    </row>
    <row r="11" spans="1:5" ht="16" thickBot="1" x14ac:dyDescent="0.4">
      <c r="A11" s="16" t="s">
        <v>40</v>
      </c>
      <c r="B11" s="16" t="s">
        <v>12</v>
      </c>
      <c r="C11" s="17" t="s">
        <v>34</v>
      </c>
      <c r="D11" s="16" t="s">
        <v>33</v>
      </c>
      <c r="E11" s="15" t="s">
        <v>39</v>
      </c>
    </row>
    <row r="12" spans="1:5" ht="16" thickBot="1" x14ac:dyDescent="0.4">
      <c r="A12" s="16" t="s">
        <v>42</v>
      </c>
      <c r="B12" s="16" t="s">
        <v>12</v>
      </c>
      <c r="C12" s="17" t="s">
        <v>15</v>
      </c>
      <c r="D12" s="16" t="s">
        <v>14</v>
      </c>
      <c r="E12" s="15" t="s">
        <v>41</v>
      </c>
    </row>
    <row r="13" spans="1:5" ht="16" thickBot="1" x14ac:dyDescent="0.4">
      <c r="A13" s="16" t="s">
        <v>44</v>
      </c>
      <c r="B13" s="16" t="s">
        <v>36</v>
      </c>
      <c r="C13" s="17" t="s">
        <v>34</v>
      </c>
      <c r="D13" s="16" t="s">
        <v>33</v>
      </c>
      <c r="E13" s="15" t="s">
        <v>43</v>
      </c>
    </row>
    <row r="14" spans="1:5" ht="16" thickBot="1" x14ac:dyDescent="0.4">
      <c r="A14" s="16" t="s">
        <v>46</v>
      </c>
      <c r="B14" s="16" t="s">
        <v>36</v>
      </c>
      <c r="C14" s="17" t="s">
        <v>34</v>
      </c>
      <c r="D14" s="16" t="s">
        <v>33</v>
      </c>
      <c r="E14" s="15" t="s">
        <v>45</v>
      </c>
    </row>
    <row r="15" spans="1:5" ht="16" thickBot="1" x14ac:dyDescent="0.4">
      <c r="A15" s="16" t="s">
        <v>48</v>
      </c>
      <c r="B15" s="16" t="s">
        <v>12</v>
      </c>
      <c r="C15" s="17" t="s">
        <v>34</v>
      </c>
      <c r="D15" s="16" t="s">
        <v>33</v>
      </c>
      <c r="E15" s="15" t="s">
        <v>47</v>
      </c>
    </row>
    <row r="16" spans="1:5" ht="16" thickBot="1" x14ac:dyDescent="0.4">
      <c r="A16" s="16" t="s">
        <v>50</v>
      </c>
      <c r="B16" s="16" t="s">
        <v>12</v>
      </c>
      <c r="C16" s="17" t="s">
        <v>15</v>
      </c>
      <c r="D16" s="16" t="s">
        <v>30</v>
      </c>
      <c r="E16" s="15" t="s">
        <v>49</v>
      </c>
    </row>
    <row r="17" spans="1:5" ht="16" thickBot="1" x14ac:dyDescent="0.4">
      <c r="A17" s="16" t="s">
        <v>52</v>
      </c>
      <c r="B17" s="16" t="s">
        <v>12</v>
      </c>
      <c r="C17" s="17" t="s">
        <v>34</v>
      </c>
      <c r="D17" s="16" t="s">
        <v>33</v>
      </c>
      <c r="E17" s="15" t="s">
        <v>51</v>
      </c>
    </row>
    <row r="18" spans="1:5" ht="16" thickBot="1" x14ac:dyDescent="0.4">
      <c r="A18" s="16" t="s">
        <v>54</v>
      </c>
      <c r="B18" s="16" t="s">
        <v>36</v>
      </c>
      <c r="C18" s="17" t="s">
        <v>34</v>
      </c>
      <c r="D18" s="16" t="s">
        <v>33</v>
      </c>
      <c r="E18" s="15" t="s">
        <v>53</v>
      </c>
    </row>
    <row r="19" spans="1:5" ht="16" thickBot="1" x14ac:dyDescent="0.4">
      <c r="A19" s="16" t="s">
        <v>56</v>
      </c>
      <c r="B19" s="16" t="s">
        <v>36</v>
      </c>
      <c r="C19" s="17" t="s">
        <v>34</v>
      </c>
      <c r="D19" s="16" t="s">
        <v>33</v>
      </c>
      <c r="E19" s="15" t="s">
        <v>55</v>
      </c>
    </row>
    <row r="20" spans="1:5" ht="16" thickBot="1" x14ac:dyDescent="0.4">
      <c r="A20" s="16" t="s">
        <v>59</v>
      </c>
      <c r="B20" s="16" t="s">
        <v>58</v>
      </c>
      <c r="C20" s="17" t="s">
        <v>34</v>
      </c>
      <c r="D20" s="16" t="s">
        <v>33</v>
      </c>
      <c r="E20" s="15" t="s">
        <v>57</v>
      </c>
    </row>
    <row r="21" spans="1:5" ht="16" thickBot="1" x14ac:dyDescent="0.4">
      <c r="A21" s="16" t="s">
        <v>61</v>
      </c>
      <c r="B21" s="16" t="s">
        <v>36</v>
      </c>
      <c r="C21" s="17" t="s">
        <v>34</v>
      </c>
      <c r="D21" s="16" t="s">
        <v>33</v>
      </c>
      <c r="E21" s="15" t="s">
        <v>60</v>
      </c>
    </row>
    <row r="22" spans="1:5" ht="16" thickBot="1" x14ac:dyDescent="0.4">
      <c r="A22" s="16" t="s">
        <v>63</v>
      </c>
      <c r="B22" s="16" t="s">
        <v>12</v>
      </c>
      <c r="C22" s="17" t="s">
        <v>34</v>
      </c>
      <c r="D22" s="16" t="s">
        <v>33</v>
      </c>
      <c r="E22" s="15" t="s">
        <v>62</v>
      </c>
    </row>
    <row r="23" spans="1:5" ht="16" thickBot="1" x14ac:dyDescent="0.4">
      <c r="A23" s="16" t="s">
        <v>65</v>
      </c>
      <c r="B23" s="16" t="s">
        <v>36</v>
      </c>
      <c r="C23" s="17" t="s">
        <v>15</v>
      </c>
      <c r="D23" s="16" t="s">
        <v>14</v>
      </c>
      <c r="E23" s="15" t="s">
        <v>64</v>
      </c>
    </row>
    <row r="24" spans="1:5" ht="16" thickBot="1" x14ac:dyDescent="0.4">
      <c r="A24" s="16" t="s">
        <v>67</v>
      </c>
      <c r="B24" s="16" t="s">
        <v>36</v>
      </c>
      <c r="C24" s="17" t="s">
        <v>15</v>
      </c>
      <c r="D24" s="16" t="s">
        <v>14</v>
      </c>
      <c r="E24" s="15" t="s">
        <v>66</v>
      </c>
    </row>
    <row r="25" spans="1:5" ht="16" thickBot="1" x14ac:dyDescent="0.4">
      <c r="A25" s="19" t="s">
        <v>69</v>
      </c>
      <c r="B25" s="19" t="s">
        <v>36</v>
      </c>
      <c r="C25" s="20" t="s">
        <v>15</v>
      </c>
      <c r="D25" s="19">
        <v>50</v>
      </c>
      <c r="E25" s="18" t="s">
        <v>68</v>
      </c>
    </row>
    <row r="26" spans="1:5" ht="16" thickBot="1" x14ac:dyDescent="0.4">
      <c r="A26" s="16" t="s">
        <v>71</v>
      </c>
      <c r="B26" s="16" t="s">
        <v>36</v>
      </c>
      <c r="C26" s="17" t="s">
        <v>34</v>
      </c>
      <c r="D26" s="16" t="s">
        <v>33</v>
      </c>
      <c r="E26" s="15" t="s">
        <v>70</v>
      </c>
    </row>
    <row r="27" spans="1:5" ht="16" thickBot="1" x14ac:dyDescent="0.4">
      <c r="A27" s="16" t="s">
        <v>73</v>
      </c>
      <c r="B27" s="16" t="s">
        <v>36</v>
      </c>
      <c r="C27" s="17" t="s">
        <v>34</v>
      </c>
      <c r="D27" s="16" t="s">
        <v>33</v>
      </c>
      <c r="E27" s="15" t="s">
        <v>72</v>
      </c>
    </row>
    <row r="28" spans="1:5" ht="16" thickBot="1" x14ac:dyDescent="0.4">
      <c r="A28" s="16" t="s">
        <v>75</v>
      </c>
      <c r="B28" s="16" t="s">
        <v>36</v>
      </c>
      <c r="C28" s="17" t="s">
        <v>15</v>
      </c>
      <c r="D28" s="16" t="s">
        <v>24</v>
      </c>
      <c r="E28" s="15" t="s">
        <v>74</v>
      </c>
    </row>
    <row r="29" spans="1:5" ht="16" thickBot="1" x14ac:dyDescent="0.4">
      <c r="A29" s="16" t="s">
        <v>77</v>
      </c>
      <c r="B29" s="16" t="s">
        <v>36</v>
      </c>
      <c r="C29" s="17" t="s">
        <v>15</v>
      </c>
      <c r="D29" s="16" t="s">
        <v>24</v>
      </c>
      <c r="E29" s="15" t="s">
        <v>76</v>
      </c>
    </row>
    <row r="30" spans="1:5" ht="16" thickBot="1" x14ac:dyDescent="0.4">
      <c r="A30" s="16" t="s">
        <v>79</v>
      </c>
      <c r="B30" s="16" t="s">
        <v>36</v>
      </c>
      <c r="C30" s="17" t="s">
        <v>15</v>
      </c>
      <c r="D30" s="16" t="s">
        <v>80</v>
      </c>
      <c r="E30" s="15" t="s">
        <v>78</v>
      </c>
    </row>
    <row r="31" spans="1:5" ht="16" thickBot="1" x14ac:dyDescent="0.4">
      <c r="A31" s="16" t="s">
        <v>81</v>
      </c>
      <c r="B31" s="16" t="s">
        <v>36</v>
      </c>
      <c r="C31" s="17" t="s">
        <v>15</v>
      </c>
      <c r="D31" s="16" t="s">
        <v>82</v>
      </c>
      <c r="E31" s="15" t="s">
        <v>30</v>
      </c>
    </row>
    <row r="32" spans="1:5" ht="16" thickBot="1" x14ac:dyDescent="0.4">
      <c r="A32" s="19" t="s">
        <v>84</v>
      </c>
      <c r="B32" s="19" t="s">
        <v>36</v>
      </c>
      <c r="C32" s="20" t="s">
        <v>34</v>
      </c>
      <c r="D32" s="19" t="s">
        <v>33</v>
      </c>
      <c r="E32" s="18" t="s">
        <v>83</v>
      </c>
    </row>
    <row r="33" spans="1:5" ht="16" thickBot="1" x14ac:dyDescent="0.4">
      <c r="A33" s="16" t="s">
        <v>86</v>
      </c>
      <c r="B33" s="16" t="s">
        <v>36</v>
      </c>
      <c r="C33" s="17" t="s">
        <v>34</v>
      </c>
      <c r="D33" s="16" t="s">
        <v>33</v>
      </c>
      <c r="E33" s="15" t="s">
        <v>85</v>
      </c>
    </row>
    <row r="34" spans="1:5" ht="16" thickBot="1" x14ac:dyDescent="0.4">
      <c r="A34" s="16" t="s">
        <v>88</v>
      </c>
      <c r="B34" s="16" t="s">
        <v>36</v>
      </c>
      <c r="C34" s="17" t="s">
        <v>15</v>
      </c>
      <c r="D34" s="16" t="s">
        <v>14</v>
      </c>
      <c r="E34" s="15" t="s">
        <v>87</v>
      </c>
    </row>
    <row r="35" spans="1:5" ht="16" thickBot="1" x14ac:dyDescent="0.4">
      <c r="A35" s="16" t="s">
        <v>90</v>
      </c>
      <c r="B35" s="16" t="s">
        <v>12</v>
      </c>
      <c r="C35" s="17" t="s">
        <v>34</v>
      </c>
      <c r="D35" s="16" t="s">
        <v>33</v>
      </c>
      <c r="E35" s="15" t="s">
        <v>89</v>
      </c>
    </row>
    <row r="36" spans="1:5" ht="16" thickBot="1" x14ac:dyDescent="0.4">
      <c r="A36" s="16" t="s">
        <v>91</v>
      </c>
      <c r="B36" s="16" t="s">
        <v>36</v>
      </c>
      <c r="C36" s="17" t="s">
        <v>15</v>
      </c>
      <c r="D36" s="16" t="s">
        <v>14</v>
      </c>
      <c r="E36" s="15" t="s">
        <v>27</v>
      </c>
    </row>
    <row r="37" spans="1:5" ht="16" thickBot="1" x14ac:dyDescent="0.4">
      <c r="A37" s="16" t="s">
        <v>93</v>
      </c>
      <c r="B37" s="16" t="s">
        <v>36</v>
      </c>
      <c r="C37" s="17" t="s">
        <v>15</v>
      </c>
      <c r="D37" s="16" t="s">
        <v>14</v>
      </c>
      <c r="E37" s="15" t="s">
        <v>92</v>
      </c>
    </row>
    <row r="38" spans="1:5" ht="16" thickBot="1" x14ac:dyDescent="0.4">
      <c r="A38" s="16" t="s">
        <v>95</v>
      </c>
      <c r="B38" s="16" t="s">
        <v>36</v>
      </c>
      <c r="C38" s="17" t="s">
        <v>15</v>
      </c>
      <c r="D38" s="16" t="s">
        <v>14</v>
      </c>
      <c r="E38" s="15" t="s">
        <v>94</v>
      </c>
    </row>
    <row r="39" spans="1:5" ht="16" thickBot="1" x14ac:dyDescent="0.4">
      <c r="A39" s="16" t="s">
        <v>97</v>
      </c>
      <c r="B39" s="16" t="s">
        <v>36</v>
      </c>
      <c r="C39" s="17" t="s">
        <v>15</v>
      </c>
      <c r="D39" s="16" t="s">
        <v>14</v>
      </c>
      <c r="E39" s="15" t="s">
        <v>96</v>
      </c>
    </row>
    <row r="40" spans="1:5" ht="16" thickBot="1" x14ac:dyDescent="0.4">
      <c r="A40" s="16" t="s">
        <v>99</v>
      </c>
      <c r="B40" s="16" t="s">
        <v>36</v>
      </c>
      <c r="C40" s="17" t="s">
        <v>34</v>
      </c>
      <c r="D40" s="16" t="s">
        <v>33</v>
      </c>
      <c r="E40" s="15" t="s">
        <v>98</v>
      </c>
    </row>
    <row r="41" spans="1:5" ht="16" thickBot="1" x14ac:dyDescent="0.4">
      <c r="A41" s="16" t="s">
        <v>100</v>
      </c>
      <c r="B41" s="16" t="s">
        <v>36</v>
      </c>
      <c r="C41" s="17" t="s">
        <v>34</v>
      </c>
      <c r="D41" s="16" t="s">
        <v>33</v>
      </c>
      <c r="E41" s="15" t="s">
        <v>82</v>
      </c>
    </row>
    <row r="42" spans="1:5" ht="16" thickBot="1" x14ac:dyDescent="0.4">
      <c r="A42" s="16" t="s">
        <v>102</v>
      </c>
      <c r="B42" s="16" t="s">
        <v>36</v>
      </c>
      <c r="C42" s="17" t="s">
        <v>15</v>
      </c>
      <c r="D42" s="16" t="s">
        <v>14</v>
      </c>
      <c r="E42" s="15" t="s">
        <v>101</v>
      </c>
    </row>
    <row r="43" spans="1:5" ht="16" thickBot="1" x14ac:dyDescent="0.4">
      <c r="A43" s="16" t="s">
        <v>104</v>
      </c>
      <c r="B43" s="16" t="s">
        <v>36</v>
      </c>
      <c r="C43" s="17" t="s">
        <v>15</v>
      </c>
      <c r="D43" s="16" t="s">
        <v>14</v>
      </c>
      <c r="E43" s="15" t="s">
        <v>103</v>
      </c>
    </row>
    <row r="44" spans="1:5" ht="16" thickBot="1" x14ac:dyDescent="0.4">
      <c r="A44" s="16" t="s">
        <v>106</v>
      </c>
      <c r="B44" s="16" t="s">
        <v>36</v>
      </c>
      <c r="C44" s="17" t="s">
        <v>15</v>
      </c>
      <c r="D44" s="16" t="s">
        <v>60</v>
      </c>
      <c r="E44" s="15" t="s">
        <v>105</v>
      </c>
    </row>
    <row r="45" spans="1:5" ht="16" thickBot="1" x14ac:dyDescent="0.4">
      <c r="A45" s="16" t="s">
        <v>109</v>
      </c>
      <c r="B45" s="16" t="s">
        <v>108</v>
      </c>
      <c r="C45" s="17" t="s">
        <v>15</v>
      </c>
      <c r="D45" s="16" t="s">
        <v>30</v>
      </c>
      <c r="E45" s="15" t="s">
        <v>107</v>
      </c>
    </row>
    <row r="46" spans="1:5" ht="16" thickBot="1" x14ac:dyDescent="0.4">
      <c r="A46" s="16" t="s">
        <v>111</v>
      </c>
      <c r="B46" s="16" t="s">
        <v>108</v>
      </c>
      <c r="C46" s="17" t="s">
        <v>15</v>
      </c>
      <c r="D46" s="16" t="s">
        <v>60</v>
      </c>
      <c r="E46" s="15" t="s">
        <v>110</v>
      </c>
    </row>
    <row r="47" spans="1:5" ht="16" thickBot="1" x14ac:dyDescent="0.4">
      <c r="A47" s="16" t="s">
        <v>113</v>
      </c>
      <c r="B47" s="16" t="s">
        <v>108</v>
      </c>
      <c r="C47" s="17" t="s">
        <v>34</v>
      </c>
      <c r="D47" s="16" t="s">
        <v>33</v>
      </c>
      <c r="E47" s="15" t="s">
        <v>112</v>
      </c>
    </row>
    <row r="48" spans="1:5" ht="16" thickBot="1" x14ac:dyDescent="0.4">
      <c r="A48" s="16" t="s">
        <v>115</v>
      </c>
      <c r="B48" s="16" t="s">
        <v>108</v>
      </c>
      <c r="C48" s="17" t="s">
        <v>34</v>
      </c>
      <c r="D48" s="16" t="s">
        <v>33</v>
      </c>
      <c r="E48" s="15" t="s">
        <v>114</v>
      </c>
    </row>
    <row r="49" spans="1:5" ht="16" thickBot="1" x14ac:dyDescent="0.4">
      <c r="A49" s="16" t="s">
        <v>117</v>
      </c>
      <c r="B49" s="16" t="s">
        <v>108</v>
      </c>
      <c r="C49" s="17" t="s">
        <v>34</v>
      </c>
      <c r="D49" s="16" t="s">
        <v>33</v>
      </c>
      <c r="E49" s="15" t="s">
        <v>116</v>
      </c>
    </row>
    <row r="50" spans="1:5" ht="16" thickBot="1" x14ac:dyDescent="0.4">
      <c r="A50" s="16" t="s">
        <v>119</v>
      </c>
      <c r="B50" s="16" t="s">
        <v>108</v>
      </c>
      <c r="C50" s="17" t="s">
        <v>15</v>
      </c>
      <c r="D50" s="16" t="s">
        <v>30</v>
      </c>
      <c r="E50" s="15" t="s">
        <v>118</v>
      </c>
    </row>
    <row r="51" spans="1:5" ht="16" thickBot="1" x14ac:dyDescent="0.4">
      <c r="A51" s="16" t="s">
        <v>120</v>
      </c>
      <c r="B51" s="16" t="s">
        <v>108</v>
      </c>
      <c r="C51" s="17" t="s">
        <v>15</v>
      </c>
      <c r="D51" s="16" t="s">
        <v>14</v>
      </c>
      <c r="E51" s="15" t="s">
        <v>14</v>
      </c>
    </row>
    <row r="52" spans="1:5" ht="16" thickBot="1" x14ac:dyDescent="0.4">
      <c r="A52" s="16" t="s">
        <v>122</v>
      </c>
      <c r="B52" s="16" t="s">
        <v>108</v>
      </c>
      <c r="C52" s="17" t="s">
        <v>15</v>
      </c>
      <c r="D52" s="16" t="s">
        <v>123</v>
      </c>
      <c r="E52" s="15" t="s">
        <v>121</v>
      </c>
    </row>
    <row r="53" spans="1:5" ht="16" thickBot="1" x14ac:dyDescent="0.4">
      <c r="A53" s="16" t="s">
        <v>125</v>
      </c>
      <c r="B53" s="16" t="s">
        <v>108</v>
      </c>
      <c r="C53" s="17" t="s">
        <v>15</v>
      </c>
      <c r="D53" s="16" t="s">
        <v>60</v>
      </c>
      <c r="E53" s="15" t="s">
        <v>124</v>
      </c>
    </row>
    <row r="54" spans="1:5" ht="16" thickBot="1" x14ac:dyDescent="0.4">
      <c r="A54" s="16" t="s">
        <v>127</v>
      </c>
      <c r="B54" s="16" t="s">
        <v>108</v>
      </c>
      <c r="C54" s="17" t="s">
        <v>15</v>
      </c>
      <c r="D54" s="16" t="s">
        <v>30</v>
      </c>
      <c r="E54" s="15" t="s">
        <v>126</v>
      </c>
    </row>
    <row r="55" spans="1:5" ht="16" thickBot="1" x14ac:dyDescent="0.4">
      <c r="A55" s="16" t="s">
        <v>129</v>
      </c>
      <c r="B55" s="16" t="s">
        <v>108</v>
      </c>
      <c r="C55" s="17" t="s">
        <v>15</v>
      </c>
      <c r="D55" s="16" t="s">
        <v>14</v>
      </c>
      <c r="E55" s="15" t="s">
        <v>128</v>
      </c>
    </row>
    <row r="56" spans="1:5" ht="16" thickBot="1" x14ac:dyDescent="0.4">
      <c r="A56" s="16" t="s">
        <v>131</v>
      </c>
      <c r="B56" s="16" t="s">
        <v>108</v>
      </c>
      <c r="C56" s="17" t="s">
        <v>15</v>
      </c>
      <c r="D56" s="16" t="s">
        <v>14</v>
      </c>
      <c r="E56" s="15" t="s">
        <v>130</v>
      </c>
    </row>
    <row r="57" spans="1:5" ht="16" thickBot="1" x14ac:dyDescent="0.4">
      <c r="A57" s="16" t="s">
        <v>133</v>
      </c>
      <c r="B57" s="16" t="s">
        <v>108</v>
      </c>
      <c r="C57" s="17" t="s">
        <v>15</v>
      </c>
      <c r="D57" s="16" t="s">
        <v>14</v>
      </c>
      <c r="E57" s="15" t="s">
        <v>132</v>
      </c>
    </row>
    <row r="58" spans="1:5" ht="16" thickBot="1" x14ac:dyDescent="0.4">
      <c r="A58" s="16" t="s">
        <v>135</v>
      </c>
      <c r="B58" s="16" t="s">
        <v>108</v>
      </c>
      <c r="C58" s="17" t="s">
        <v>15</v>
      </c>
      <c r="D58" s="16" t="s">
        <v>14</v>
      </c>
      <c r="E58" s="15" t="s">
        <v>134</v>
      </c>
    </row>
    <row r="59" spans="1:5" ht="16" thickBot="1" x14ac:dyDescent="0.4">
      <c r="A59" s="16" t="s">
        <v>137</v>
      </c>
      <c r="B59" s="16" t="s">
        <v>12</v>
      </c>
      <c r="C59" s="17" t="s">
        <v>34</v>
      </c>
      <c r="D59" s="16" t="s">
        <v>33</v>
      </c>
      <c r="E59" s="15" t="s">
        <v>136</v>
      </c>
    </row>
    <row r="60" spans="1:5" ht="16" thickBot="1" x14ac:dyDescent="0.4">
      <c r="A60" s="16" t="s">
        <v>139</v>
      </c>
      <c r="B60" s="16" t="s">
        <v>36</v>
      </c>
      <c r="C60" s="17" t="s">
        <v>34</v>
      </c>
      <c r="D60" s="16" t="s">
        <v>33</v>
      </c>
      <c r="E60" s="15" t="s">
        <v>138</v>
      </c>
    </row>
    <row r="61" spans="1:5" ht="16" thickBot="1" x14ac:dyDescent="0.4">
      <c r="A61" s="16" t="s">
        <v>140</v>
      </c>
      <c r="B61" s="16" t="s">
        <v>108</v>
      </c>
      <c r="C61" s="17" t="s">
        <v>34</v>
      </c>
      <c r="D61" s="16" t="s">
        <v>33</v>
      </c>
      <c r="E61" s="15" t="s">
        <v>24</v>
      </c>
    </row>
    <row r="62" spans="1:5" ht="16" thickBot="1" x14ac:dyDescent="0.4">
      <c r="A62" s="16" t="s">
        <v>142</v>
      </c>
      <c r="B62" s="16" t="s">
        <v>58</v>
      </c>
      <c r="C62" s="17" t="s">
        <v>34</v>
      </c>
      <c r="D62" s="16" t="s">
        <v>33</v>
      </c>
      <c r="E62" s="15" t="s">
        <v>141</v>
      </c>
    </row>
    <row r="63" spans="1:5" ht="16" thickBot="1" x14ac:dyDescent="0.4">
      <c r="A63" s="16" t="s">
        <v>144</v>
      </c>
      <c r="B63" s="16" t="s">
        <v>36</v>
      </c>
      <c r="C63" s="17" t="s">
        <v>15</v>
      </c>
      <c r="D63" s="16" t="s">
        <v>14</v>
      </c>
      <c r="E63" s="15" t="s">
        <v>143</v>
      </c>
    </row>
    <row r="64" spans="1:5" ht="16" thickBot="1" x14ac:dyDescent="0.4">
      <c r="A64" s="16" t="s">
        <v>146</v>
      </c>
      <c r="B64" s="16" t="s">
        <v>58</v>
      </c>
      <c r="C64" s="17" t="s">
        <v>34</v>
      </c>
      <c r="D64" s="16" t="s">
        <v>33</v>
      </c>
      <c r="E64" s="15" t="s">
        <v>145</v>
      </c>
    </row>
    <row r="65" spans="1:5" x14ac:dyDescent="0.35">
      <c r="A65" s="22" t="s">
        <v>148</v>
      </c>
      <c r="B65" s="22" t="s">
        <v>108</v>
      </c>
      <c r="C65" s="23" t="s">
        <v>34</v>
      </c>
      <c r="D65" s="22" t="s">
        <v>33</v>
      </c>
      <c r="E65" s="21" t="s">
        <v>147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40C44A88D65DB429F49D894BA47C9F6" ma:contentTypeVersion="13" ma:contentTypeDescription="Create a new document." ma:contentTypeScope="" ma:versionID="d46a82fd9cd30dc96232c95cc30c0c10">
  <xsd:schema xmlns:xsd="http://www.w3.org/2001/XMLSchema" xmlns:xs="http://www.w3.org/2001/XMLSchema" xmlns:p="http://schemas.microsoft.com/office/2006/metadata/properties" xmlns:ns3="a87e6f36-9e82-48cb-9b1e-7724bf6582c8" xmlns:ns4="9bdf6d25-432e-43ce-9a96-79d42c948b1c" targetNamespace="http://schemas.microsoft.com/office/2006/metadata/properties" ma:root="true" ma:fieldsID="e6e07b65191fd508f63de6da87e265d6" ns3:_="" ns4:_="">
    <xsd:import namespace="a87e6f36-9e82-48cb-9b1e-7724bf6582c8"/>
    <xsd:import namespace="9bdf6d25-432e-43ce-9a96-79d42c948b1c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87e6f36-9e82-48cb-9b1e-7724bf6582c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bdf6d25-432e-43ce-9a96-79d42c948b1c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D83FC70-16D4-4F3E-9843-73D855C56A17}">
  <ds:schemaRefs>
    <ds:schemaRef ds:uri="http://schemas.openxmlformats.org/package/2006/metadata/core-properties"/>
    <ds:schemaRef ds:uri="http://schemas.microsoft.com/office/2006/documentManagement/types"/>
    <ds:schemaRef ds:uri="a87e6f36-9e82-48cb-9b1e-7724bf6582c8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purl.org/dc/terms/"/>
    <ds:schemaRef ds:uri="9bdf6d25-432e-43ce-9a96-79d42c948b1c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6287C34E-C80C-4328-9BC9-5BC0A4512CB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87e6f36-9e82-48cb-9b1e-7724bf6582c8"/>
    <ds:schemaRef ds:uri="9bdf6d25-432e-43ce-9a96-79d42c948b1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3C85143-050A-46E7-9A26-178F35F39AD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Marchés</vt:lpstr>
      <vt:lpstr>Validation des données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Inclusive IT</dc:creator>
  <cp:lastModifiedBy>VIRGINIE SECK</cp:lastModifiedBy>
  <dcterms:created xsi:type="dcterms:W3CDTF">2022-04-28T05:22:02Z</dcterms:created>
  <dcterms:modified xsi:type="dcterms:W3CDTF">2024-02-15T00:57:58Z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0x010100540C44A88D65DB429F49D894BA47C9F6</vt:lpwstr>
  </property>
</Properties>
</file>